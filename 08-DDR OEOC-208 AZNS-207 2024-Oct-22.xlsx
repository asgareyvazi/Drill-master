
<file path=[Content_Types].xml><?xml version="1.0" encoding="utf-8"?>
<Types xmlns="http://schemas.openxmlformats.org/package/2006/content-types">
  <Default Extension="bin" ContentType="application/vnd.openxmlformats-officedocument.spreadsheetml.printerSettings"/>
  <Default Extension="jp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xml"/>
  <Override PartName="/xl/comments1.xml" ContentType="application/vnd.openxmlformats-officedocument.spreadsheetml.comments+xml"/>
  <Override PartName="/xl/drawings/drawing3.xml" ContentType="application/vnd.openxmlformats-officedocument.drawing+xml"/>
  <Override PartName="/xl/tables/table1.xml" ContentType="application/vnd.openxmlformats-officedocument.spreadsheetml.table+xml"/>
  <Override PartName="/xl/drawings/drawing4.xml" ContentType="application/vnd.openxmlformats-officedocument.drawing+xml"/>
  <Override PartName="/xl/drawings/drawing5.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827"/>
  <workbookPr filterPrivacy="1" codeName="ThisWorkbook" hidePivotFieldList="1" defaultThemeVersion="124226"/>
  <xr:revisionPtr revIDLastSave="0" documentId="13_ncr:1_{2F761BF9-F0F9-4852-8CC3-084891195DAB}" xr6:coauthVersionLast="47" xr6:coauthVersionMax="47" xr10:uidLastSave="{00000000-0000-0000-0000-000000000000}"/>
  <bookViews>
    <workbookView xWindow="-120" yWindow="-120" windowWidth="20730" windowHeight="11310" tabRatio="593" activeTab="2" xr2:uid="{00000000-000D-0000-FFFF-FFFF00000000}"/>
  </bookViews>
  <sheets>
    <sheet name="DDR Remark" sheetId="20" r:id="rId1"/>
    <sheet name="DDR Data" sheetId="12" r:id="rId2"/>
    <sheet name="Lookahead" sheetId="31" r:id="rId3"/>
    <sheet name="Service Company" sheetId="30" r:id="rId4"/>
    <sheet name="Activity Codes" sheetId="29" r:id="rId5"/>
    <sheet name="setting" sheetId="17" state="hidden" r:id="rId6"/>
  </sheets>
  <definedNames>
    <definedName name="_xlnm.Print_Area" localSheetId="4">'Activity Codes'!$A$1:$D$150</definedName>
    <definedName name="_xlnm.Print_Area" localSheetId="1">'DDR Data'!$B$2:$T$102</definedName>
    <definedName name="_xlnm.Print_Area" localSheetId="0">'DDR Remark'!$A$1:$BA$102</definedName>
    <definedName name="_xlnm.Print_Area" localSheetId="3">'Service Company'!$A$1:$J$30</definedName>
    <definedName name="RiskAutoStopPercChange">1.5</definedName>
    <definedName name="RiskCollectDistributionSamples">2</definedName>
    <definedName name="RiskExcelReportsGoInNewWorkbook">TRUE</definedName>
    <definedName name="RiskExcelReportsToGenerate">0</definedName>
    <definedName name="RiskFixedSeed">1</definedName>
    <definedName name="RiskGenerateExcelReportsAtEndOfSimulation">FALSE</definedName>
    <definedName name="RiskHasSettings">TRUE</definedName>
    <definedName name="RiskMinimizeOnStart">FALSE</definedName>
    <definedName name="RiskMonitorConvergence">FALSE</definedName>
    <definedName name="RiskNumIterations">5000</definedName>
    <definedName name="RiskNumSimulations">1</definedName>
    <definedName name="RiskPauseOnError">FALSE</definedName>
    <definedName name="RiskRealTimeResults">FALSE</definedName>
    <definedName name="RiskReportGraphFormat">0</definedName>
    <definedName name="RiskResultsUpdateFreq">100</definedName>
    <definedName name="RiskRunAfterRecalcMacro">FALSE</definedName>
    <definedName name="RiskRunAfterSimMacro">FALSE</definedName>
    <definedName name="RiskRunBeforeRecalcMacro">FALSE</definedName>
    <definedName name="RiskRunBeforeSimMacro">FALSE</definedName>
    <definedName name="RiskSamplingType">3</definedName>
    <definedName name="RiskShowRiskWindowAtEndOfSimulation">TRUE</definedName>
    <definedName name="RiskStandardRecalc">1</definedName>
    <definedName name="RiskTemplateSheetName">"myTemplate"</definedName>
    <definedName name="RiskUpdateDisplay">FALSE</definedName>
    <definedName name="RiskUseDifferentSeedForEachSim">FALSE</definedName>
    <definedName name="RiskUseFixedSeed">FALSE</definedName>
    <definedName name="RiskUseMultipleCPUs">FALSE</definedName>
    <definedName name="Z_94342195_ADF4_42EE_BBEB_E8C6607CFD7E_.wvu.PrintArea" localSheetId="1" hidden="1">'DDR Data'!$B$4:$T$83</definedName>
  </definedNames>
  <calcPr calcId="191029"/>
  <fileRecoveryPr autoRecover="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alcChain.xml><?xml version="1.0" encoding="utf-8"?>
<calcChain xmlns="http://schemas.openxmlformats.org/spreadsheetml/2006/main">
  <c r="P26" i="31" l="1"/>
  <c r="F26" i="31"/>
  <c r="E52" i="12"/>
  <c r="E53" i="12" s="1"/>
  <c r="E54" i="12" s="1"/>
  <c r="E55" i="12" s="1"/>
  <c r="E56" i="12" s="1"/>
  <c r="M79" i="12"/>
  <c r="E48" i="12"/>
  <c r="E49" i="12" s="1"/>
  <c r="E50" i="12" s="1"/>
  <c r="E51" i="12" s="1"/>
  <c r="E31" i="12"/>
  <c r="R12" i="20"/>
  <c r="R12" i="12"/>
  <c r="R12" i="30"/>
  <c r="P12" i="29"/>
  <c r="E37" i="20"/>
  <c r="E36" i="20"/>
  <c r="E35" i="20"/>
  <c r="E34" i="20"/>
  <c r="E33" i="20"/>
  <c r="L10" i="31" l="1"/>
  <c r="M10" i="31" s="1"/>
  <c r="A10" i="31" l="1"/>
  <c r="L11" i="31"/>
  <c r="A11" i="31" l="1"/>
  <c r="M11" i="31"/>
  <c r="L12" i="31" s="1"/>
  <c r="A12" i="31" l="1"/>
  <c r="M12" i="31"/>
  <c r="L13" i="31" s="1"/>
  <c r="M13" i="31" l="1"/>
  <c r="L14" i="31" s="1"/>
  <c r="A13" i="31"/>
  <c r="A14" i="31" l="1"/>
  <c r="M14" i="31"/>
  <c r="L15" i="31" s="1"/>
  <c r="M15" i="31" l="1"/>
  <c r="L16" i="31" s="1"/>
  <c r="A15" i="31"/>
  <c r="M16" i="31" l="1"/>
  <c r="L17" i="31" s="1"/>
  <c r="A16" i="31"/>
  <c r="M17" i="31" l="1"/>
  <c r="L18" i="31" s="1"/>
  <c r="A17" i="31"/>
  <c r="M18" i="31" l="1"/>
  <c r="L19" i="31" s="1"/>
  <c r="A18" i="31"/>
  <c r="A19" i="31" l="1"/>
  <c r="M19" i="31"/>
  <c r="L20" i="31" s="1"/>
  <c r="M20" i="31" l="1"/>
  <c r="L21" i="31" s="1"/>
  <c r="A20" i="31"/>
  <c r="M21" i="31" l="1"/>
  <c r="L22" i="31" s="1"/>
  <c r="A21" i="31"/>
  <c r="A22" i="31" l="1"/>
  <c r="M22" i="31"/>
  <c r="M88" i="12" l="1"/>
  <c r="E71" i="20"/>
  <c r="E56" i="20"/>
  <c r="E70" i="20" l="1"/>
  <c r="E53" i="20"/>
  <c r="E57" i="20"/>
  <c r="E58" i="20"/>
  <c r="E72" i="20"/>
  <c r="E54" i="20"/>
  <c r="E73" i="20" l="1"/>
  <c r="E55" i="20"/>
  <c r="E59" i="20"/>
  <c r="E26" i="20" l="1"/>
  <c r="E66" i="20"/>
  <c r="E67" i="20"/>
  <c r="E68" i="20"/>
  <c r="E69" i="20"/>
  <c r="E74" i="20"/>
  <c r="E75" i="20"/>
  <c r="E76" i="20"/>
  <c r="E65" i="20"/>
  <c r="E25" i="20"/>
  <c r="E27" i="20"/>
  <c r="E28" i="20"/>
  <c r="E29" i="20"/>
  <c r="E30" i="20"/>
  <c r="E31" i="20"/>
  <c r="E32" i="20"/>
  <c r="E38" i="20"/>
  <c r="E39" i="20"/>
  <c r="E40" i="20"/>
  <c r="E41" i="20"/>
  <c r="E42" i="20"/>
  <c r="E43" i="20"/>
  <c r="E44" i="20"/>
  <c r="E45" i="20"/>
  <c r="E46" i="20"/>
  <c r="E47" i="20"/>
  <c r="E48" i="20"/>
  <c r="E49" i="20"/>
  <c r="E50" i="20"/>
  <c r="E51" i="20"/>
  <c r="E52" i="20"/>
  <c r="E60" i="20"/>
  <c r="E61" i="20"/>
  <c r="E24" i="20"/>
  <c r="BA24" i="20" l="1"/>
  <c r="E62" i="20"/>
  <c r="E77" i="20"/>
  <c r="BA77" i="20" s="1"/>
  <c r="E68" i="12" l="1"/>
  <c r="I68" i="12"/>
  <c r="C4" i="12" l="1"/>
  <c r="E7" i="12" l="1"/>
  <c r="E6" i="12"/>
  <c r="G7" i="12"/>
  <c r="H7" i="12"/>
  <c r="I7" i="12"/>
  <c r="AU25" i="20"/>
  <c r="BA25" i="20" s="1"/>
  <c r="R13" i="20" s="1"/>
  <c r="AU26" i="20" l="1"/>
  <c r="BA26" i="20" s="1"/>
  <c r="AU27" i="20" l="1"/>
  <c r="BA27" i="20" s="1"/>
  <c r="AU28" i="20" l="1"/>
  <c r="BA28" i="20" s="1"/>
  <c r="AU29" i="20" l="1"/>
  <c r="BA29" i="20" s="1"/>
  <c r="AU30" i="20" l="1"/>
  <c r="BA30" i="20" s="1"/>
  <c r="S7" i="17"/>
  <c r="S8" i="17" s="1"/>
  <c r="S9" i="17" s="1"/>
  <c r="S10" i="17" s="1"/>
  <c r="S11" i="17" s="1"/>
  <c r="S12" i="17" s="1"/>
  <c r="S13" i="17" s="1"/>
  <c r="S14" i="17" s="1"/>
  <c r="S15" i="17" s="1"/>
  <c r="S16" i="17" s="1"/>
  <c r="S17" i="17" s="1"/>
  <c r="S18" i="17" s="1"/>
  <c r="S19" i="17" s="1"/>
  <c r="S20" i="17" s="1"/>
  <c r="S21" i="17" s="1"/>
  <c r="S22" i="17" s="1"/>
  <c r="S23" i="17" s="1"/>
  <c r="S24" i="17" s="1"/>
  <c r="S25" i="17" s="1"/>
  <c r="S26" i="17" s="1"/>
  <c r="S27" i="17" s="1"/>
  <c r="S28" i="17" s="1"/>
  <c r="S29" i="17" s="1"/>
  <c r="S30" i="17" s="1"/>
  <c r="S31" i="17" s="1"/>
  <c r="S32" i="17" s="1"/>
  <c r="S33" i="17" s="1"/>
  <c r="S34" i="17" s="1"/>
  <c r="Q6" i="17"/>
  <c r="Q7" i="17" s="1"/>
  <c r="Q8" i="17" s="1"/>
  <c r="Q9" i="17" s="1"/>
  <c r="Q10" i="17" s="1"/>
  <c r="Q11" i="17" s="1"/>
  <c r="Q12" i="17" s="1"/>
  <c r="Q13" i="17" s="1"/>
  <c r="Q14" i="17" s="1"/>
  <c r="Q15" i="17" s="1"/>
  <c r="Q16" i="17" s="1"/>
  <c r="Q17" i="17" s="1"/>
  <c r="Q18" i="17" s="1"/>
  <c r="Q19" i="17" s="1"/>
  <c r="Q20" i="17" s="1"/>
  <c r="Q21" i="17" s="1"/>
  <c r="Q22" i="17" s="1"/>
  <c r="Q23" i="17" s="1"/>
  <c r="Q24" i="17" s="1"/>
  <c r="Q25" i="17" s="1"/>
  <c r="Q26" i="17" s="1"/>
  <c r="Q27" i="17" s="1"/>
  <c r="Q28" i="17" s="1"/>
  <c r="Q29" i="17" s="1"/>
  <c r="Q30" i="17" s="1"/>
  <c r="Q31" i="17" s="1"/>
  <c r="Q32" i="17" s="1"/>
  <c r="Q33" i="17" s="1"/>
  <c r="Q34" i="17" s="1"/>
  <c r="Q35" i="17" s="1"/>
  <c r="AU31" i="20" l="1"/>
  <c r="BA31" i="20" s="1"/>
  <c r="AU32" i="20" l="1"/>
  <c r="BA32" i="20" s="1"/>
  <c r="AU33" i="20" l="1"/>
  <c r="BA33" i="20" s="1"/>
  <c r="AU34" i="20" l="1"/>
  <c r="BA34" i="20" s="1"/>
  <c r="AU35" i="20" l="1"/>
  <c r="BA35" i="20" l="1"/>
  <c r="AU36" i="20"/>
  <c r="BA36" i="20" s="1"/>
  <c r="AU37" i="20" l="1"/>
  <c r="BA37" i="20" s="1"/>
  <c r="AU38" i="20" l="1"/>
  <c r="BA38" i="20" s="1"/>
  <c r="AU39" i="20" l="1"/>
  <c r="BA39" i="20" s="1"/>
  <c r="AU40" i="20" l="1"/>
  <c r="BA40" i="20" s="1"/>
  <c r="AU41" i="20" l="1"/>
  <c r="BA41" i="20" s="1"/>
  <c r="AU42" i="20" l="1"/>
  <c r="BA42" i="20" s="1"/>
  <c r="AU43" i="20" l="1"/>
  <c r="BA43" i="20" s="1"/>
  <c r="AU44" i="20" l="1"/>
  <c r="BA44" i="20" s="1"/>
  <c r="AU45" i="20" l="1"/>
  <c r="BA45" i="20" s="1"/>
  <c r="AU46" i="20" l="1"/>
  <c r="BA46" i="20" s="1"/>
  <c r="AU47" i="20" l="1"/>
  <c r="BA47" i="20" s="1"/>
  <c r="AU48" i="20" l="1"/>
  <c r="BA48" i="20" s="1"/>
  <c r="AU49" i="20" l="1"/>
  <c r="BA49" i="20" s="1"/>
  <c r="AU50" i="20" l="1"/>
  <c r="BA50" i="20" s="1"/>
  <c r="AU51" i="20" l="1"/>
  <c r="BA51" i="20" s="1"/>
  <c r="AU52" i="20" l="1"/>
  <c r="BA52" i="20" s="1"/>
  <c r="BA62" i="20"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S33" authorId="0" shapeId="0" xr:uid="{00000000-0006-0000-0100-000001000000}">
      <text>
        <r>
          <rPr>
            <b/>
            <sz val="9"/>
            <color indexed="81"/>
            <rFont val="Tahoma"/>
            <family val="2"/>
          </rPr>
          <t xml:space="preserve">Author:
</t>
        </r>
      </text>
    </comment>
  </commentList>
</comments>
</file>

<file path=xl/sharedStrings.xml><?xml version="1.0" encoding="utf-8"?>
<sst xmlns="http://schemas.openxmlformats.org/spreadsheetml/2006/main" count="1270" uniqueCount="1017">
  <si>
    <t>Code</t>
  </si>
  <si>
    <t xml:space="preserve">Code Name </t>
  </si>
  <si>
    <t>Trips</t>
  </si>
  <si>
    <t>Pick up Drill Pipe</t>
  </si>
  <si>
    <t xml:space="preserve">Lay Down Drill Pipe </t>
  </si>
  <si>
    <t>Deviation Survey</t>
  </si>
  <si>
    <t>Cementing</t>
  </si>
  <si>
    <t>Pulling Casing</t>
  </si>
  <si>
    <t>Test BOP</t>
  </si>
  <si>
    <t>Pressure Test BOPs</t>
  </si>
  <si>
    <t>Drill Stem Test</t>
  </si>
  <si>
    <t>Plug Back</t>
  </si>
  <si>
    <t>Fishing</t>
  </si>
  <si>
    <t>Other</t>
  </si>
  <si>
    <t>Acidizing</t>
  </si>
  <si>
    <t>Out Standing</t>
  </si>
  <si>
    <t>Received</t>
  </si>
  <si>
    <t>Material Request</t>
  </si>
  <si>
    <t>NPT</t>
  </si>
  <si>
    <t>To</t>
  </si>
  <si>
    <t>From</t>
  </si>
  <si>
    <t>Coring</t>
  </si>
  <si>
    <t>Time Break Down</t>
  </si>
  <si>
    <t xml:space="preserve"> Operation Forecast for next 24 hours:</t>
  </si>
  <si>
    <t xml:space="preserve"> Actual Rig Days:</t>
  </si>
  <si>
    <t xml:space="preserve"> Field:</t>
  </si>
  <si>
    <t>Waiting on Weather</t>
  </si>
  <si>
    <t xml:space="preserve"> Well Name</t>
  </si>
  <si>
    <t>MUD Data</t>
  </si>
  <si>
    <t>Mud Chemical</t>
  </si>
  <si>
    <t xml:space="preserve"> Product Type</t>
  </si>
  <si>
    <t>On Hand</t>
  </si>
  <si>
    <t>Unit</t>
  </si>
  <si>
    <t>Drilling Data</t>
  </si>
  <si>
    <t>Item</t>
  </si>
  <si>
    <t>Length (m)</t>
  </si>
  <si>
    <t>Incl.</t>
  </si>
  <si>
    <t>Azimuth</t>
  </si>
  <si>
    <t>TVD (m)</t>
  </si>
  <si>
    <t>North (m)</t>
  </si>
  <si>
    <t>East (m)</t>
  </si>
  <si>
    <t>Tool</t>
  </si>
  <si>
    <t>Weather Data</t>
  </si>
  <si>
    <t xml:space="preserve"> Mat. Type</t>
  </si>
  <si>
    <t xml:space="preserve"> Unit</t>
  </si>
  <si>
    <t xml:space="preserve"> Wind Direction</t>
  </si>
  <si>
    <t xml:space="preserve"> On Hand</t>
  </si>
  <si>
    <t xml:space="preserve"> Received</t>
  </si>
  <si>
    <t xml:space="preserve"> TEMP(°C)</t>
  </si>
  <si>
    <t xml:space="preserve"> Name</t>
  </si>
  <si>
    <t>Safety &amp; Drills</t>
  </si>
  <si>
    <t xml:space="preserve"> Last BOP Test</t>
  </si>
  <si>
    <t xml:space="preserve"> Last Fire Drill</t>
  </si>
  <si>
    <t xml:space="preserve"> Last H2S Drill</t>
  </si>
  <si>
    <t xml:space="preserve"> Days Without LTA</t>
  </si>
  <si>
    <t>Formation Top Data</t>
  </si>
  <si>
    <t>Personnel on Board</t>
  </si>
  <si>
    <t>m MD</t>
  </si>
  <si>
    <t>m TVD</t>
  </si>
  <si>
    <t>Lithology</t>
  </si>
  <si>
    <t>Drilling</t>
  </si>
  <si>
    <t>Development</t>
  </si>
  <si>
    <t>Reaming</t>
  </si>
  <si>
    <t>Repair Rig</t>
  </si>
  <si>
    <t>Note:</t>
  </si>
  <si>
    <t>Squeeze CMT</t>
  </si>
  <si>
    <t>Treating</t>
  </si>
  <si>
    <t>Swabbing</t>
  </si>
  <si>
    <t>Wash Down</t>
  </si>
  <si>
    <t>Nipple up/down BOP</t>
  </si>
  <si>
    <t>Waiting on Client</t>
  </si>
  <si>
    <t>CSG Running</t>
  </si>
  <si>
    <t xml:space="preserve">Description </t>
  </si>
  <si>
    <t>Cut and slipping drill line with the operators consent</t>
  </si>
  <si>
    <t>All activity associated with an F.I.T/L.O.T.</t>
  </si>
  <si>
    <t>Hole displacement</t>
  </si>
  <si>
    <t>Waiting on Service companies</t>
  </si>
  <si>
    <t>Waiting on Operator Company</t>
  </si>
  <si>
    <t xml:space="preserve">The process by which the drill bit is pulled back inside the previous casing shoe and then run back to bottom. </t>
  </si>
  <si>
    <t>Any Vertical or Directional Drilling of Cement, Float and shoe</t>
  </si>
  <si>
    <t xml:space="preserve">Disconnect and Laying Down Drill Pipe </t>
  </si>
  <si>
    <t>Cum. Hrs</t>
  </si>
  <si>
    <t xml:space="preserve"> Visibility (km)</t>
  </si>
  <si>
    <t>M.D (m)</t>
  </si>
  <si>
    <t>TYPE</t>
  </si>
  <si>
    <t>SIZE</t>
  </si>
  <si>
    <t>TOTAL(m)</t>
  </si>
  <si>
    <t xml:space="preserve"> Report Time</t>
  </si>
  <si>
    <t xml:space="preserve"> Mud Type</t>
  </si>
  <si>
    <t xml:space="preserve"> Last BOP Drill</t>
  </si>
  <si>
    <t>RAMS</t>
  </si>
  <si>
    <t>Last Test</t>
  </si>
  <si>
    <t>BOP Stack and Well Head</t>
  </si>
  <si>
    <t>VS / HD</t>
  </si>
  <si>
    <t>DLS</t>
  </si>
  <si>
    <t>Total</t>
  </si>
  <si>
    <t>OD (in)</t>
  </si>
  <si>
    <t>Sub code</t>
  </si>
  <si>
    <t>Rig Moving/ Positioning</t>
  </si>
  <si>
    <t xml:space="preserve">Rig Skid  </t>
  </si>
  <si>
    <t>Flow Check</t>
  </si>
  <si>
    <t>Circulate/ Condition Mud</t>
  </si>
  <si>
    <t>Take S.C.R</t>
  </si>
  <si>
    <t>Take Slow Pump Rates</t>
  </si>
  <si>
    <t>Loss control</t>
  </si>
  <si>
    <t>R/U &amp; R/D Handling Equip.</t>
  </si>
  <si>
    <t>Rig up and Rig down Pipe/BHA Handling Equipment</t>
  </si>
  <si>
    <t>PU/LD BHA</t>
  </si>
  <si>
    <t xml:space="preserve">Preparing, Picking Up and Making Up The BHA. Break out and Laying Down BHA </t>
  </si>
  <si>
    <t>Wiper/ Condition Trip</t>
  </si>
  <si>
    <t>Rig Lubricate</t>
  </si>
  <si>
    <t>Normal Lubrication and Scheduled Planned Maintenance - that shuts operations down WITHOUT contractual down time</t>
  </si>
  <si>
    <t>The Process by which cement slurry is squeezed into place in order to carry out remedial work (e.g. shut off water producing zone, repair casing leaks , etc. )</t>
  </si>
  <si>
    <t>Milling</t>
  </si>
  <si>
    <t>Waiting on Logistics/ Fuel</t>
  </si>
  <si>
    <t xml:space="preserve">Completion Trips </t>
  </si>
  <si>
    <t>Completion Test</t>
  </si>
  <si>
    <t>Coiled Tubing Ops.</t>
  </si>
  <si>
    <t>Clean Up</t>
  </si>
  <si>
    <t>21</t>
  </si>
  <si>
    <t>Rig Operations Manager /Rig Manager:</t>
  </si>
  <si>
    <t xml:space="preserve"> Summary of Activities in Last 24:00 hours:</t>
  </si>
  <si>
    <t>Well Shape:</t>
  </si>
  <si>
    <t>Main Phase</t>
  </si>
  <si>
    <t>MOV</t>
  </si>
  <si>
    <t>Moving</t>
  </si>
  <si>
    <t>All of operation from Tear out, Rig down, …, Transportation to Rig up &amp; Spud.</t>
  </si>
  <si>
    <t>DRL</t>
  </si>
  <si>
    <t>All of operation during making a hole from surface to the target including Trips, Circulation, Drilling, Reaming, etc.</t>
  </si>
  <si>
    <t>LOG</t>
  </si>
  <si>
    <t>Logging</t>
  </si>
  <si>
    <t>All of operation during taking a log from R/U logging Equip. to R/D including all of related activities same as Logging, Condition trip, Fishing, etc.</t>
  </si>
  <si>
    <t>CSG</t>
  </si>
  <si>
    <t>Casing/ Liner</t>
  </si>
  <si>
    <t>Includes all procedures from Rig up Running Equipment, Casing/ Liner Running, Perform CMT job and R/D same.</t>
  </si>
  <si>
    <t>COM</t>
  </si>
  <si>
    <t>Completion</t>
  </si>
  <si>
    <t>Includes all procedures from Rig up Running Equipment, Running Completion String, Pressure Tests, Instaling XMT and Perforation Job.</t>
  </si>
  <si>
    <t>FTS</t>
  </si>
  <si>
    <t>Formation Testing &amp; Stimulation</t>
  </si>
  <si>
    <t>All of operation related to Acidizing, Testing, Lifting, Well Flowing, etc.</t>
  </si>
  <si>
    <t>PIH</t>
  </si>
  <si>
    <t>Pilot Hole</t>
  </si>
  <si>
    <t>Drilling a small hole diameter into the formation including all related operation same as Time drilling, Logging, Coring, Plug back, etc.</t>
  </si>
  <si>
    <t>COR</t>
  </si>
  <si>
    <t>The extraction from the wellbore of a cylindrical sample for geological analysis.</t>
  </si>
  <si>
    <t>REE</t>
  </si>
  <si>
    <t>Re-Entry</t>
  </si>
  <si>
    <t>The act of entering a plugged well for the purpose of utilizing said well for the production of oil or gas, for the disposal of fluids therein, for a service well, or for the salvaging of tubing or casing therefrom.</t>
  </si>
  <si>
    <t>ABD</t>
  </si>
  <si>
    <t>Abandonment/Suspension</t>
  </si>
  <si>
    <t>Including all operation to permanent or temporarily subsurface isolation to prevent any undesired communication between any distinct zones and fluid movement out of a well using validated well barriers.</t>
  </si>
  <si>
    <t xml:space="preserve">Rig Up/ Tear Down / Move </t>
  </si>
  <si>
    <t>1-1</t>
  </si>
  <si>
    <t>Rig Moving, Spot, Positioning and verify the location.</t>
  </si>
  <si>
    <t>1-2</t>
  </si>
  <si>
    <t>Rig Up</t>
  </si>
  <si>
    <t>The on-site connection of rig components in preparation for drilling or well servicing operations. Rig up begins when the first rig components have arrived at the wellsite, and ends when the rig is ready to spud the well.</t>
  </si>
  <si>
    <t>1-3</t>
  </si>
  <si>
    <t>Rig Down</t>
  </si>
  <si>
    <t>To take apart equipment for storage and portability.</t>
  </si>
  <si>
    <t>1-4</t>
  </si>
  <si>
    <t xml:space="preserve">Tear Out </t>
  </si>
  <si>
    <t xml:space="preserve">The act of dismantling a rig at the end of a well and preparing it for moving to the next location. </t>
  </si>
  <si>
    <t>1-5</t>
  </si>
  <si>
    <t>Skid in /out Activities.</t>
  </si>
  <si>
    <t xml:space="preserve">Drilling </t>
  </si>
  <si>
    <t>2-1</t>
  </si>
  <si>
    <t>Vertical Drilling</t>
  </si>
  <si>
    <t xml:space="preserve">Vertical Drilling, with all type of BHA with or without DHM (Performane Drilling ) </t>
  </si>
  <si>
    <t>2-2</t>
  </si>
  <si>
    <t>Directional &amp; Horizontal Drlg. (Rotating mode)</t>
  </si>
  <si>
    <t>Any Directional Drilling at Rotating Mode with Directional BHA</t>
  </si>
  <si>
    <t>3-2</t>
  </si>
  <si>
    <t xml:space="preserve">Run in Hole With Pumping </t>
  </si>
  <si>
    <t>3-4</t>
  </si>
  <si>
    <t xml:space="preserve">Drill Out Cement/ Shoe track </t>
  </si>
  <si>
    <t>4-1</t>
  </si>
  <si>
    <t>Trip in for Coring</t>
  </si>
  <si>
    <t>P/U &amp; M/U Equip. RIH for Coring Operation</t>
  </si>
  <si>
    <t>4-2</t>
  </si>
  <si>
    <t>Trip out for Coring</t>
  </si>
  <si>
    <t xml:space="preserve">POOH for Coring Operation, B/O &amp; L/D Equip. </t>
  </si>
  <si>
    <t>4-3</t>
  </si>
  <si>
    <t>Coring Operation</t>
  </si>
  <si>
    <t>Coring operation and any circulating.</t>
  </si>
  <si>
    <t>4-4</t>
  </si>
  <si>
    <t>Core Recovery</t>
  </si>
  <si>
    <t>Core Recovery Period time</t>
  </si>
  <si>
    <t>Circulate &amp; Condition</t>
  </si>
  <si>
    <t>5-1</t>
  </si>
  <si>
    <t>Mud Preparation, Displacing the hole with mud or any fluid</t>
  </si>
  <si>
    <t>5-2</t>
  </si>
  <si>
    <t>Sweep the well, Circulation of hole to clean hole, treat the mud condition.</t>
  </si>
  <si>
    <t>5-3</t>
  </si>
  <si>
    <t>Circulation of hole with CT</t>
  </si>
  <si>
    <t>5-4</t>
  </si>
  <si>
    <t>All Activities Associated with Circulate and Condition due to lost circulation or putting LCM plugs &amp; CMT plug.</t>
  </si>
  <si>
    <t>6-1</t>
  </si>
  <si>
    <t>R/U &amp; R/D Pipe Handling Equip.</t>
  </si>
  <si>
    <t>6-2</t>
  </si>
  <si>
    <t>6-3</t>
  </si>
  <si>
    <t>Picking Up The Drill Pipe, making stand and rack back same.</t>
  </si>
  <si>
    <t>6-4</t>
  </si>
  <si>
    <t>6-5</t>
  </si>
  <si>
    <t>Run in Hole</t>
  </si>
  <si>
    <t>Trip in hole with string or any tubular, BHA.</t>
  </si>
  <si>
    <t>6-6</t>
  </si>
  <si>
    <t>Pull Out Of Hole</t>
  </si>
  <si>
    <t>Trip out of hole with string or any tubular, BHA.</t>
  </si>
  <si>
    <t>6-7</t>
  </si>
  <si>
    <t>POOH with Pumping</t>
  </si>
  <si>
    <t>Trip Out of Hole With Pumping</t>
  </si>
  <si>
    <t>6-8</t>
  </si>
  <si>
    <t>Service/ Maintain Rig</t>
  </si>
  <si>
    <t>7-1</t>
  </si>
  <si>
    <t xml:space="preserve">Repair Rig </t>
  </si>
  <si>
    <t>8-1</t>
  </si>
  <si>
    <t>Circulating System</t>
  </si>
  <si>
    <t>All repairs of rig equipment according to Circulating System</t>
  </si>
  <si>
    <t>8-2</t>
  </si>
  <si>
    <t>Power System</t>
  </si>
  <si>
    <t>All repairs of rig equipment according to Power System</t>
  </si>
  <si>
    <t>8-3</t>
  </si>
  <si>
    <t>Hoisting System</t>
  </si>
  <si>
    <t>All repairs of rig equipment according to Hoisting System</t>
  </si>
  <si>
    <t>8-4</t>
  </si>
  <si>
    <t>Rotating System</t>
  </si>
  <si>
    <t>All repairs of rig equipment according to Rotating System</t>
  </si>
  <si>
    <t>8-5</t>
  </si>
  <si>
    <t>Well Control System</t>
  </si>
  <si>
    <t>All repairs of rig equipment according to Well Control System</t>
  </si>
  <si>
    <t>8-6</t>
  </si>
  <si>
    <t>All repairs of rig equipment according to other parts.</t>
  </si>
  <si>
    <t xml:space="preserve">Replacing Drill Line </t>
  </si>
  <si>
    <t>9-1</t>
  </si>
  <si>
    <t>10-1</t>
  </si>
  <si>
    <t>Performing Survey Operation</t>
  </si>
  <si>
    <t>All Activities Associated With MWD, Gyro (Single shot/Multi shot), Tatco, etc.</t>
  </si>
  <si>
    <t>11-1</t>
  </si>
  <si>
    <t>R/U &amp; R/D Logging Equip.</t>
  </si>
  <si>
    <t>Rig up and Rig down Logging Equipment</t>
  </si>
  <si>
    <t>11-2</t>
  </si>
  <si>
    <t xml:space="preserve">Wire line logging </t>
  </si>
  <si>
    <t>All Activities Associated with Wireline Logging</t>
  </si>
  <si>
    <t>11-3</t>
  </si>
  <si>
    <t xml:space="preserve">TLC Logging </t>
  </si>
  <si>
    <t>All Activities Associated with TLC Logging</t>
  </si>
  <si>
    <t>11-4</t>
  </si>
  <si>
    <t>CT Logging</t>
  </si>
  <si>
    <t>All Activities Associated with CT Logging</t>
  </si>
  <si>
    <t>Run Casing/ Liner</t>
  </si>
  <si>
    <t>12-1</t>
  </si>
  <si>
    <t>Rig up and Rig down Casing Running Handling Equipment</t>
  </si>
  <si>
    <t>12-2</t>
  </si>
  <si>
    <t>Running of Casing to shoe depth.</t>
  </si>
  <si>
    <t>12-3</t>
  </si>
  <si>
    <t xml:space="preserve">All Activities Associated With Pulling Casing </t>
  </si>
  <si>
    <t>12-4</t>
  </si>
  <si>
    <t xml:space="preserve">CSG/Liner Integrity Test </t>
  </si>
  <si>
    <t>All Activities Associated With CIT (CSG/Liner Integrity Test )</t>
  </si>
  <si>
    <t>12-5</t>
  </si>
  <si>
    <t>Liner Running</t>
  </si>
  <si>
    <t xml:space="preserve">Liner Running and set hanger </t>
  </si>
  <si>
    <t>12-6</t>
  </si>
  <si>
    <t>Liner Tie back Operation</t>
  </si>
  <si>
    <t xml:space="preserve">Included runing Liner joints, and pulling setting tools </t>
  </si>
  <si>
    <t>12-7</t>
  </si>
  <si>
    <t>Pull out Liner hanger setting tools and L/D</t>
  </si>
  <si>
    <t>POOH T/Surf. And L/D Setting tool</t>
  </si>
  <si>
    <t>12-8</t>
  </si>
  <si>
    <t>Other Related Casing/Liner Activities</t>
  </si>
  <si>
    <t>Including inflow test, etc.</t>
  </si>
  <si>
    <t>12-9</t>
  </si>
  <si>
    <t>Nipple up/down Wellhead</t>
  </si>
  <si>
    <t>All activities related to Installing and Removing of the Wellhead.</t>
  </si>
  <si>
    <t>13-1</t>
  </si>
  <si>
    <t>Casing/ Liner Cementing</t>
  </si>
  <si>
    <t>Making cement solution, Mix and pump of cement slurry to the wellbore for casing/ Liner/ Tie back operation.</t>
  </si>
  <si>
    <t>13-2</t>
  </si>
  <si>
    <t>Includes section/ well abandonment plugs or side track plugs.</t>
  </si>
  <si>
    <t>13-3</t>
  </si>
  <si>
    <t>13-4</t>
  </si>
  <si>
    <t>Balance Plug</t>
  </si>
  <si>
    <t>A plug of Cement placed as a slurry in a specific location until the level of cement outside is equal to that inside the drill pipe/ workstring/ tubing.</t>
  </si>
  <si>
    <t>13-5</t>
  </si>
  <si>
    <t>14</t>
  </si>
  <si>
    <t>Wait on Cement</t>
  </si>
  <si>
    <t>14-1</t>
  </si>
  <si>
    <t>for Casing/ Liner Cementing</t>
  </si>
  <si>
    <t>WOC due to Casing/ Liner Cementing.</t>
  </si>
  <si>
    <t>14-2</t>
  </si>
  <si>
    <t>for Cement plug</t>
  </si>
  <si>
    <t>WOC due to Plug back/ Balance Plug/ Well Suspension/ Abandonment plugs.</t>
  </si>
  <si>
    <t>14-4</t>
  </si>
  <si>
    <t>15</t>
  </si>
  <si>
    <t>Rig Up/Down BOP</t>
  </si>
  <si>
    <t>15-1</t>
  </si>
  <si>
    <t>All activities related to Nippling up or nippling down the BOP and Divertors</t>
  </si>
  <si>
    <t>16</t>
  </si>
  <si>
    <t>16-1</t>
  </si>
  <si>
    <t>All activities associated with Pressure Test BOPs, Choke Manifold and Surface Equipment</t>
  </si>
  <si>
    <t>17</t>
  </si>
  <si>
    <t>17-1</t>
  </si>
  <si>
    <t>Conventional DST</t>
  </si>
  <si>
    <t>All activities associated with a Conventional DST including R/U, R/D, RIH, …, POOH.</t>
  </si>
  <si>
    <t>17-2</t>
  </si>
  <si>
    <t>Full Bore DST</t>
  </si>
  <si>
    <t>All activities associated with a Full Bore DST including R/U, R/D, RIH, …, POOH.</t>
  </si>
  <si>
    <t>17-3</t>
  </si>
  <si>
    <t xml:space="preserve">Dry test </t>
  </si>
  <si>
    <t>Included Scraper trip, Run test string, Perform job &amp; POOH.</t>
  </si>
  <si>
    <t>18</t>
  </si>
  <si>
    <t>18-1</t>
  </si>
  <si>
    <t>Fishing Job</t>
  </si>
  <si>
    <t>All preparing, assembling of fishing equipment to RIH w/fishing equipement, Work on Fish and Retrieve.</t>
  </si>
  <si>
    <t>18-2</t>
  </si>
  <si>
    <t>All activities associated with Milling.</t>
  </si>
  <si>
    <t>18-3</t>
  </si>
  <si>
    <t>All activities associated with CT.</t>
  </si>
  <si>
    <t>18-4</t>
  </si>
  <si>
    <t>Work on Stuck</t>
  </si>
  <si>
    <t>Stuck pipe period time including all of related logs, Back off, etc.</t>
  </si>
  <si>
    <t>19</t>
  </si>
  <si>
    <t>Specialized Directional Work</t>
  </si>
  <si>
    <t>19-1</t>
  </si>
  <si>
    <t>RIH/ POOH Side-Track equip.</t>
  </si>
  <si>
    <t>RIH to Set Packer/ WhipStock to start Side-Tracking.</t>
  </si>
  <si>
    <t>19-2</t>
  </si>
  <si>
    <t>Side-Tracking in Open Hole</t>
  </si>
  <si>
    <t>Side Tracking Original Hole For Any Reason on wellbore wall in open hole</t>
  </si>
  <si>
    <t>19-3</t>
  </si>
  <si>
    <t>Side-Tracking in Cased Hole</t>
  </si>
  <si>
    <t>Side Tracking Original Hole For Any Reason on wellbore wall in cased hole</t>
  </si>
  <si>
    <t>19-4</t>
  </si>
  <si>
    <t>20</t>
  </si>
  <si>
    <t>Operation Status (Waiting)</t>
  </si>
  <si>
    <t>20-1</t>
  </si>
  <si>
    <t>Any reason the rig prime activity is waiting due to Client</t>
  </si>
  <si>
    <t>20-2</t>
  </si>
  <si>
    <t>Any reason the rig prime activity is waiting due to Operator Company</t>
  </si>
  <si>
    <t>20-3</t>
  </si>
  <si>
    <t>Any reason the rig prime activity is waiting due to Sub Contractors</t>
  </si>
  <si>
    <t>20-4</t>
  </si>
  <si>
    <t>Any reason the rig prime activity is waiting due to Weather</t>
  </si>
  <si>
    <t>20-5</t>
  </si>
  <si>
    <t>Any reason the rig prime activity is waiting due to Fuel</t>
  </si>
  <si>
    <t>Safety</t>
  </si>
  <si>
    <t>21-1</t>
  </si>
  <si>
    <t>Pre Job Safety Meeting (PJSM)</t>
  </si>
  <si>
    <t>Time period for Pre Job Safety Meeting.</t>
  </si>
  <si>
    <t>21-2</t>
  </si>
  <si>
    <t>Drills</t>
  </si>
  <si>
    <t>All activities associated with Safety Drills.</t>
  </si>
  <si>
    <t>21-3</t>
  </si>
  <si>
    <t>Other HSE Related activities</t>
  </si>
  <si>
    <t>22</t>
  </si>
  <si>
    <t>Perforating</t>
  </si>
  <si>
    <t>22-1</t>
  </si>
  <si>
    <t>Wire line Perforation</t>
  </si>
  <si>
    <t>All activity associated with Perforation (Preparing, R/U wire line)</t>
  </si>
  <si>
    <t>22-2</t>
  </si>
  <si>
    <t>TCP Perforatin</t>
  </si>
  <si>
    <t>All activity associated with Perforation with tubing.</t>
  </si>
  <si>
    <t>22-3</t>
  </si>
  <si>
    <t>CT Perforatin</t>
  </si>
  <si>
    <t>All activity associated with Perforation (Preparing, R/U CT BOP, Injector, etc.)</t>
  </si>
  <si>
    <t>23</t>
  </si>
  <si>
    <t xml:space="preserve">Completion\ XMT </t>
  </si>
  <si>
    <t>23-1</t>
  </si>
  <si>
    <t>All activity associated with Completion Trips (R/U &amp; R/D completion running tools, run/pull completion string etc.).</t>
  </si>
  <si>
    <t>23-2</t>
  </si>
  <si>
    <t>All activity associated with Function test and pressure test during completion ops.</t>
  </si>
  <si>
    <t>23-3</t>
  </si>
  <si>
    <t>Fluid displacement</t>
  </si>
  <si>
    <t>Completion Fluid displacement</t>
  </si>
  <si>
    <t>23-4</t>
  </si>
  <si>
    <t xml:space="preserve">Slick line jobs </t>
  </si>
  <si>
    <t>Included shifting tolls, plug and prong running tools, etc.</t>
  </si>
  <si>
    <t>23-5</t>
  </si>
  <si>
    <t>All activity associated with completion done by CTU.</t>
  </si>
  <si>
    <t>23-6</t>
  </si>
  <si>
    <t>Nipple up/down XMT</t>
  </si>
  <si>
    <t xml:space="preserve">All activities related to Installing and Removing of the XMT. </t>
  </si>
  <si>
    <t>23-7</t>
  </si>
  <si>
    <t>XMT Test</t>
  </si>
  <si>
    <t>All activities associated with Pressure Test of XMT.</t>
  </si>
  <si>
    <t>24</t>
  </si>
  <si>
    <t>24-1</t>
  </si>
  <si>
    <t>All activity associated with Acidi Job.</t>
  </si>
  <si>
    <t>24-2</t>
  </si>
  <si>
    <t>N2 Lifting</t>
  </si>
  <si>
    <t>All activity associated with N2 Lifting.</t>
  </si>
  <si>
    <t>24-3</t>
  </si>
  <si>
    <t>Preparing, R/U CT BOP, Injector Head, etc.</t>
  </si>
  <si>
    <t>25</t>
  </si>
  <si>
    <t>25-1</t>
  </si>
  <si>
    <t>26</t>
  </si>
  <si>
    <t>Surface Testing</t>
  </si>
  <si>
    <t>26-1</t>
  </si>
  <si>
    <t>All activity associated with Surface well testing when completion string is in hole.</t>
  </si>
  <si>
    <t>26-2</t>
  </si>
  <si>
    <t>All activity associated with Clean up operation when completion string is in hole..</t>
  </si>
  <si>
    <t>27</t>
  </si>
  <si>
    <t>Well Control</t>
  </si>
  <si>
    <t>27-1</t>
  </si>
  <si>
    <t>Kill the well</t>
  </si>
  <si>
    <t>Kill the well with different methods.</t>
  </si>
  <si>
    <t>27-2</t>
  </si>
  <si>
    <t>27-3</t>
  </si>
  <si>
    <t>FIT/ LOT</t>
  </si>
  <si>
    <t>27-4</t>
  </si>
  <si>
    <t>Flow Check/Monitor Well while tripping and drilling</t>
  </si>
  <si>
    <t>27-5</t>
  </si>
  <si>
    <t>Strip In / Out</t>
  </si>
  <si>
    <t>All activity associated with an Strip In / Out.</t>
  </si>
  <si>
    <t>27-6</t>
  </si>
  <si>
    <t>28</t>
  </si>
  <si>
    <t>28-1</t>
  </si>
  <si>
    <t>29</t>
  </si>
  <si>
    <t>Subsea Operation</t>
  </si>
  <si>
    <t>29-1</t>
  </si>
  <si>
    <t>Run/ Retrieve Riser Equip.</t>
  </si>
  <si>
    <t>29-2</t>
  </si>
  <si>
    <t>Subsea Installation</t>
  </si>
  <si>
    <t>Drilling Superintendent :</t>
  </si>
  <si>
    <t>Drilling Supervisor Day:</t>
  </si>
  <si>
    <t>Drilling Supervisor Night :</t>
  </si>
  <si>
    <t xml:space="preserve">Well Site Drilling Engineering: </t>
  </si>
  <si>
    <t>Well Site Geologist:</t>
  </si>
  <si>
    <t>Drilling Contractor:</t>
  </si>
  <si>
    <t>Bulk Data</t>
  </si>
  <si>
    <t>KCL (% wt)</t>
  </si>
  <si>
    <t xml:space="preserve"> Material Type</t>
  </si>
  <si>
    <t>Cement and Cement Additives</t>
  </si>
  <si>
    <t>W.P (psi)</t>
  </si>
  <si>
    <t>Rig Up/ Tear Down / Move</t>
  </si>
  <si>
    <t>Replacing Drill Line</t>
  </si>
  <si>
    <t xml:space="preserve"> Logging</t>
  </si>
  <si>
    <t>Completion\ XMT</t>
  </si>
  <si>
    <t>Rot. Hrs</t>
  </si>
  <si>
    <t>Serial Number</t>
  </si>
  <si>
    <t>Cum. Len</t>
  </si>
  <si>
    <t>Used</t>
  </si>
  <si>
    <t>Down Hole Equipment</t>
  </si>
  <si>
    <t>Equipment</t>
  </si>
  <si>
    <t>50 KG/SX</t>
  </si>
  <si>
    <t>1 MT/BB</t>
  </si>
  <si>
    <t>55 GAL/DM</t>
  </si>
  <si>
    <t>25 KG/SX</t>
  </si>
  <si>
    <t>Lime</t>
  </si>
  <si>
    <t>Nut Plug (C)</t>
  </si>
  <si>
    <t>Nut Plug (F)</t>
  </si>
  <si>
    <t>Nut Plug (M)</t>
  </si>
  <si>
    <t>Oyster Shell (C)</t>
  </si>
  <si>
    <t>Oyster Shell (F)</t>
  </si>
  <si>
    <t>Oyster Shell (M)</t>
  </si>
  <si>
    <t>Sodium Bicarbonate</t>
  </si>
  <si>
    <t>Xanthan Gum</t>
  </si>
  <si>
    <t>D.W</t>
  </si>
  <si>
    <t>Barite</t>
  </si>
  <si>
    <t>1.5 MT/BB</t>
  </si>
  <si>
    <t>Tool Pusher Day / Night :</t>
  </si>
  <si>
    <t>Mud Lost Down Hole (bbls)</t>
  </si>
  <si>
    <t>2-3</t>
  </si>
  <si>
    <t>Directional &amp; Horizontal Drlg. (Sliding mode)</t>
  </si>
  <si>
    <t>Any Directional Drilling at Sliding Mode</t>
  </si>
  <si>
    <t>2-4</t>
  </si>
  <si>
    <t>Coiled Tubing Drilling</t>
  </si>
  <si>
    <t xml:space="preserve">Drilling Formation with CT. </t>
  </si>
  <si>
    <t>Any Rotating of Bit Without Making Hole.</t>
  </si>
  <si>
    <t>3-3</t>
  </si>
  <si>
    <t>Under reaming/ Hole Opening/ Hole Enlargement</t>
  </si>
  <si>
    <t>Planned Opening Hole/Underreaming/ Hole Enlargment</t>
  </si>
  <si>
    <t>NI-015</t>
  </si>
  <si>
    <t>M1</t>
  </si>
  <si>
    <t>3-1</t>
  </si>
  <si>
    <t xml:space="preserve">Reaming / Back Reaming </t>
  </si>
  <si>
    <t>20-6</t>
  </si>
  <si>
    <t>Waiting on Rig Contractor</t>
  </si>
  <si>
    <t>Any reason the rig prime activity is waiting due to Rig Contractor</t>
  </si>
  <si>
    <t>Drilling Detergent</t>
  </si>
  <si>
    <t xml:space="preserve">Salt </t>
  </si>
  <si>
    <t>Salt-Polymer</t>
  </si>
  <si>
    <t>Torque (kft-lbs)</t>
  </si>
  <si>
    <t>KCl</t>
  </si>
  <si>
    <t>1MT/BB</t>
  </si>
  <si>
    <t>M1365</t>
  </si>
  <si>
    <t>Rig Activity</t>
  </si>
  <si>
    <t>min</t>
  </si>
  <si>
    <t>max</t>
  </si>
  <si>
    <t>status</t>
  </si>
  <si>
    <t>Service Copmany</t>
  </si>
  <si>
    <t>MAIN PHASE</t>
  </si>
  <si>
    <t>Day</t>
  </si>
  <si>
    <t>month</t>
  </si>
  <si>
    <t>year</t>
  </si>
  <si>
    <t>day</t>
  </si>
  <si>
    <t>DAY</t>
  </si>
  <si>
    <t>Month</t>
  </si>
  <si>
    <t>May</t>
  </si>
  <si>
    <t>DANA-1 Rig</t>
  </si>
  <si>
    <t>Rig Name</t>
  </si>
  <si>
    <t>Nozzle No</t>
  </si>
  <si>
    <t>no</t>
  </si>
  <si>
    <t>hrs</t>
  </si>
  <si>
    <t>Project:</t>
  </si>
  <si>
    <t>Drilling Parameter</t>
  </si>
  <si>
    <t>Bit Nozzle</t>
  </si>
  <si>
    <t>bit size</t>
  </si>
  <si>
    <t>Nozzle size (1/32 inch)</t>
  </si>
  <si>
    <t>CASING LINER SIZE</t>
  </si>
  <si>
    <t>HOLE SECTION</t>
  </si>
  <si>
    <t>DANA-2 Rig</t>
  </si>
  <si>
    <t>DANA-3 Rig</t>
  </si>
  <si>
    <t>Project</t>
  </si>
  <si>
    <t>Azadegan</t>
  </si>
  <si>
    <t>Gachsaran 3&amp;4</t>
  </si>
  <si>
    <t>West Paydar</t>
  </si>
  <si>
    <t>Belal</t>
  </si>
  <si>
    <t>Well Name</t>
  </si>
  <si>
    <t>NI-016</t>
  </si>
  <si>
    <t>NI-017</t>
  </si>
  <si>
    <t>NI-018</t>
  </si>
  <si>
    <t>NI-019</t>
  </si>
  <si>
    <t>NI-020</t>
  </si>
  <si>
    <t>NI-021</t>
  </si>
  <si>
    <t>NI-022</t>
  </si>
  <si>
    <t>NI-023</t>
  </si>
  <si>
    <t>NI-024</t>
  </si>
  <si>
    <t>NI-025</t>
  </si>
  <si>
    <t>NI-026</t>
  </si>
  <si>
    <t>NI-027</t>
  </si>
  <si>
    <t>NI-028</t>
  </si>
  <si>
    <t>NI-029</t>
  </si>
  <si>
    <t>NI-030</t>
  </si>
  <si>
    <t>NI-031</t>
  </si>
  <si>
    <t>NI-032</t>
  </si>
  <si>
    <t>NI-033</t>
  </si>
  <si>
    <t>NI-034</t>
  </si>
  <si>
    <t>NI-035</t>
  </si>
  <si>
    <t>NI-036</t>
  </si>
  <si>
    <t>NI-037</t>
  </si>
  <si>
    <t>NI-038</t>
  </si>
  <si>
    <t>NI-039</t>
  </si>
  <si>
    <t>NI-040</t>
  </si>
  <si>
    <t>NI-041</t>
  </si>
  <si>
    <t>NI-042</t>
  </si>
  <si>
    <t>NI-043</t>
  </si>
  <si>
    <t>Report Date</t>
  </si>
  <si>
    <t xml:space="preserve"> Report No</t>
  </si>
  <si>
    <t>Type</t>
  </si>
  <si>
    <t>GAIN LOS TYPE</t>
  </si>
  <si>
    <t>GAIN</t>
  </si>
  <si>
    <t>LOSS</t>
  </si>
  <si>
    <t>GLE-MSL (m):</t>
  </si>
  <si>
    <t>Report No.:</t>
  </si>
  <si>
    <t>Client Rep:</t>
  </si>
  <si>
    <t>Motor RPM ( rev/gal)</t>
  </si>
  <si>
    <t>Offshore</t>
  </si>
  <si>
    <t>Onshore</t>
  </si>
  <si>
    <t>Operation type</t>
  </si>
  <si>
    <t>WELL TEYPE</t>
  </si>
  <si>
    <t>WELL SHAPE</t>
  </si>
  <si>
    <t>J Shape</t>
  </si>
  <si>
    <t>Field</t>
  </si>
  <si>
    <t>Nargesi</t>
  </si>
  <si>
    <t>Gachsaran</t>
  </si>
  <si>
    <t>Ramin</t>
  </si>
  <si>
    <t>Ahwaz</t>
  </si>
  <si>
    <t>Farzad</t>
  </si>
  <si>
    <t>IADC CODE (BIT)</t>
  </si>
  <si>
    <t>M1366</t>
  </si>
  <si>
    <t>M1367</t>
  </si>
  <si>
    <t>M1368</t>
  </si>
  <si>
    <t>M1369</t>
  </si>
  <si>
    <t>M1370</t>
  </si>
  <si>
    <t>M1371</t>
  </si>
  <si>
    <t>M1372</t>
  </si>
  <si>
    <t>M1373</t>
  </si>
  <si>
    <t>M1374</t>
  </si>
  <si>
    <t>M1375</t>
  </si>
  <si>
    <t>M1376</t>
  </si>
  <si>
    <t>M1377</t>
  </si>
  <si>
    <t>M1378</t>
  </si>
  <si>
    <t>M1379</t>
  </si>
  <si>
    <t>M1380</t>
  </si>
  <si>
    <t>M1381</t>
  </si>
  <si>
    <t>Bit Type</t>
  </si>
  <si>
    <t>Type1</t>
  </si>
  <si>
    <t>Type26</t>
  </si>
  <si>
    <t>Type27</t>
  </si>
  <si>
    <t>Type28</t>
  </si>
  <si>
    <t>Type29</t>
  </si>
  <si>
    <t>Type30</t>
  </si>
  <si>
    <t>Type31</t>
  </si>
  <si>
    <t>Type2</t>
  </si>
  <si>
    <t>Type3</t>
  </si>
  <si>
    <t>Type4</t>
  </si>
  <si>
    <t>Type5</t>
  </si>
  <si>
    <t>Type6</t>
  </si>
  <si>
    <t>Type7</t>
  </si>
  <si>
    <t>Type8</t>
  </si>
  <si>
    <t>Type9</t>
  </si>
  <si>
    <t>Type10</t>
  </si>
  <si>
    <t>Type11</t>
  </si>
  <si>
    <t>Type12</t>
  </si>
  <si>
    <t>Type13</t>
  </si>
  <si>
    <t>Type14</t>
  </si>
  <si>
    <t>Type15</t>
  </si>
  <si>
    <t>Type16</t>
  </si>
  <si>
    <t>Type17</t>
  </si>
  <si>
    <t>Type18</t>
  </si>
  <si>
    <t>Type19</t>
  </si>
  <si>
    <t>Type20</t>
  </si>
  <si>
    <t>Type21</t>
  </si>
  <si>
    <t>Type22</t>
  </si>
  <si>
    <t>Type23</t>
  </si>
  <si>
    <t>Type24</t>
  </si>
  <si>
    <t>Type25</t>
  </si>
  <si>
    <t>Type32</t>
  </si>
  <si>
    <t>Type33</t>
  </si>
  <si>
    <t>Type34</t>
  </si>
  <si>
    <t>Type35</t>
  </si>
  <si>
    <t>Type36</t>
  </si>
  <si>
    <t>Type37</t>
  </si>
  <si>
    <t>Type38</t>
  </si>
  <si>
    <t>Type39</t>
  </si>
  <si>
    <t>Type40</t>
  </si>
  <si>
    <t>Type41</t>
  </si>
  <si>
    <t>Type42</t>
  </si>
  <si>
    <t>Type43</t>
  </si>
  <si>
    <t>Type44</t>
  </si>
  <si>
    <t>Type45</t>
  </si>
  <si>
    <t>Type46</t>
  </si>
  <si>
    <t>Type47</t>
  </si>
  <si>
    <t>Mud Type</t>
  </si>
  <si>
    <t>Brine</t>
  </si>
  <si>
    <t>Kcl</t>
  </si>
  <si>
    <t>KCL-Polymer</t>
  </si>
  <si>
    <t xml:space="preserve"> TFA ( in^2)</t>
  </si>
  <si>
    <t>Daily Drilling Report</t>
  </si>
  <si>
    <t>Sub Code</t>
  </si>
  <si>
    <t>Status</t>
  </si>
  <si>
    <t>RTE-MSL (m):</t>
  </si>
  <si>
    <t>GLE-RTE (m):</t>
  </si>
  <si>
    <t xml:space="preserve">Operator: </t>
  </si>
  <si>
    <t>Client:</t>
  </si>
  <si>
    <t>Section Start Depth MD(m):</t>
  </si>
  <si>
    <t>Hole Section (inch):</t>
  </si>
  <si>
    <t xml:space="preserve">MW (PCF): </t>
  </si>
  <si>
    <t>Rig Name:</t>
  </si>
  <si>
    <t>Well Name:</t>
  </si>
  <si>
    <t>Well Type:</t>
  </si>
  <si>
    <t>DATE</t>
  </si>
  <si>
    <t>Hole Section Strat:</t>
  </si>
  <si>
    <t>Report:</t>
  </si>
  <si>
    <t>Spud :</t>
  </si>
  <si>
    <t>Year</t>
  </si>
  <si>
    <t>MIN</t>
  </si>
  <si>
    <t>MAX</t>
  </si>
  <si>
    <t>Gain/Loss BPH</t>
  </si>
  <si>
    <t xml:space="preserve"> Mud Weight</t>
  </si>
  <si>
    <t>MW UNIT</t>
  </si>
  <si>
    <t xml:space="preserve"> (pcf)/ @35˚C</t>
  </si>
  <si>
    <t>PPG</t>
  </si>
  <si>
    <t xml:space="preserve">
 </t>
  </si>
  <si>
    <t>Bit revolution (k.rev)</t>
  </si>
  <si>
    <t>LTA (Day)</t>
  </si>
  <si>
    <t>Grade</t>
  </si>
  <si>
    <t>Thread</t>
  </si>
  <si>
    <t>Previous Casing Information</t>
  </si>
  <si>
    <t>Size (in)</t>
  </si>
  <si>
    <t>From (m)</t>
  </si>
  <si>
    <t>To (m)</t>
  </si>
  <si>
    <t>Weight (#)</t>
  </si>
  <si>
    <t>Shoe (TVD)m</t>
  </si>
  <si>
    <t>Jan</t>
  </si>
  <si>
    <t>Feb</t>
  </si>
  <si>
    <t>Mar</t>
  </si>
  <si>
    <t>Apr</t>
  </si>
  <si>
    <t>Jun</t>
  </si>
  <si>
    <t>Jul</t>
  </si>
  <si>
    <t>Aug</t>
  </si>
  <si>
    <t>Sep</t>
  </si>
  <si>
    <t>Oct</t>
  </si>
  <si>
    <t>Nov</t>
  </si>
  <si>
    <t>Dec</t>
  </si>
  <si>
    <t>Burst
(psi)</t>
  </si>
  <si>
    <t>Collapse
(psi)</t>
  </si>
  <si>
    <t>Bit Dull Condition</t>
  </si>
  <si>
    <t>Cum.Bit Ave ROP (m/hr)</t>
  </si>
  <si>
    <t>Bit Cum. Hrs on Bottom</t>
  </si>
  <si>
    <t>Bit Hours on Bottom</t>
  </si>
  <si>
    <t>Bit Cum. Drilled (m)</t>
  </si>
  <si>
    <t>Bit Drilled (m)</t>
  </si>
  <si>
    <t>IADC Code</t>
  </si>
  <si>
    <t>Bit Serial No.</t>
  </si>
  <si>
    <t>Bit Manufacture</t>
  </si>
  <si>
    <t>Bit Size (inch)</t>
  </si>
  <si>
    <t>Bit No.</t>
  </si>
  <si>
    <t>Pump Liner Size (inch)</t>
  </si>
  <si>
    <t>Pump Output (gpm)</t>
  </si>
  <si>
    <t>W.O.B (klb)</t>
  </si>
  <si>
    <t>Surf. RPM ( rev/gal)</t>
  </si>
  <si>
    <t>Pump Pressure (psi)</t>
  </si>
  <si>
    <t>Rig Heading (°)</t>
  </si>
  <si>
    <t>PLN</t>
  </si>
  <si>
    <t>UNPLN</t>
  </si>
  <si>
    <t>NPT-UNPLN</t>
  </si>
  <si>
    <t>Offshore Water Depth (m)</t>
  </si>
  <si>
    <t>Bit Rerun  NO (First Run=0)</t>
  </si>
  <si>
    <t>FIT Depth (MD/TVD) /EMW (PCF):</t>
  </si>
  <si>
    <t xml:space="preserve"> RT - WH (m):</t>
  </si>
  <si>
    <t xml:space="preserve"> 24 hrs Drilled (m):</t>
  </si>
  <si>
    <t>KOP #2:</t>
  </si>
  <si>
    <t>KOP #1:</t>
  </si>
  <si>
    <t>Northing (m):</t>
  </si>
  <si>
    <t>Longitude:</t>
  </si>
  <si>
    <t>Latitude:</t>
  </si>
  <si>
    <t>Drilling Supervisor (Day):</t>
  </si>
  <si>
    <t>Drilling Superintendent:</t>
  </si>
  <si>
    <t>Drilling Supervisor (Night):</t>
  </si>
  <si>
    <t>Well Site Drilling Engineering:</t>
  </si>
  <si>
    <t>Estimated Final Depth MD (m):</t>
  </si>
  <si>
    <t>Moving Start Date:</t>
  </si>
  <si>
    <t xml:space="preserve">Measure Depth (m)  </t>
  </si>
  <si>
    <t>-</t>
  </si>
  <si>
    <t>BBL</t>
  </si>
  <si>
    <t>Lit</t>
  </si>
  <si>
    <t>MT</t>
  </si>
  <si>
    <t>PCF</t>
  </si>
  <si>
    <t>Input Tight Hole Points  or Intervals  Depth (m):</t>
  </si>
  <si>
    <t>Solid Control</t>
  </si>
  <si>
    <t>Size/# Cones</t>
  </si>
  <si>
    <t>U.F</t>
  </si>
  <si>
    <t>O.F</t>
  </si>
  <si>
    <t>Shaker #1</t>
  </si>
  <si>
    <t>Shaker #2</t>
  </si>
  <si>
    <t>Shaker #3</t>
  </si>
  <si>
    <t>D-Sander</t>
  </si>
  <si>
    <t>D-Silter</t>
  </si>
  <si>
    <t>Centrifuge#1</t>
  </si>
  <si>
    <t>Centrifuge#2</t>
  </si>
  <si>
    <t>AVG. ROP (m/hrs.)</t>
  </si>
  <si>
    <t>MD (m)@ 24:00:</t>
  </si>
  <si>
    <t>MD (m)@ 6:00 AM:</t>
  </si>
  <si>
    <t>MD (m)@ 0:00:</t>
  </si>
  <si>
    <t>Name</t>
  </si>
  <si>
    <t>Departure</t>
  </si>
  <si>
    <t>Time</t>
  </si>
  <si>
    <t>Date</t>
  </si>
  <si>
    <t>Chopper</t>
  </si>
  <si>
    <t>Boats</t>
  </si>
  <si>
    <t>No. of PAX IN</t>
  </si>
  <si>
    <t>Arrival Rig</t>
  </si>
  <si>
    <t>Easting(m):</t>
  </si>
  <si>
    <t>NPT/ Unplan Attributed</t>
  </si>
  <si>
    <t>Daily Hrs/ Cum hrs</t>
  </si>
  <si>
    <t>Formation:</t>
  </si>
  <si>
    <t>F.W</t>
  </si>
  <si>
    <t>Client (KPE)</t>
  </si>
  <si>
    <t>Catering + Guard</t>
  </si>
  <si>
    <t>Labour</t>
  </si>
  <si>
    <t>Total POB</t>
  </si>
  <si>
    <t>Blend CMT</t>
  </si>
  <si>
    <t>Limestone</t>
  </si>
  <si>
    <t>Mud cleaner</t>
  </si>
  <si>
    <t>CMT "G" Delijan</t>
  </si>
  <si>
    <t>55 Gal / DR</t>
  </si>
  <si>
    <t>Limestone chips(M)</t>
  </si>
  <si>
    <t>Limestone chips(C)</t>
  </si>
  <si>
    <t>Limestone chips(F)</t>
  </si>
  <si>
    <t>Reserve 1 Vol.(bbls)/MW (PCF)</t>
  </si>
  <si>
    <t>Citric Acid</t>
  </si>
  <si>
    <t>Biocide</t>
  </si>
  <si>
    <t>Bentonite</t>
  </si>
  <si>
    <t>API Starch</t>
  </si>
  <si>
    <t>Caustic Soda</t>
  </si>
  <si>
    <t>Soda Ash</t>
  </si>
  <si>
    <t>Mica (M)</t>
  </si>
  <si>
    <t>Mica (F)</t>
  </si>
  <si>
    <t>Anti-Foam</t>
  </si>
  <si>
    <t>Corrosion Inhibitor</t>
  </si>
  <si>
    <t>Oxygen Scavenger</t>
  </si>
  <si>
    <t>Pipe Lax</t>
  </si>
  <si>
    <t>Bit Lube</t>
  </si>
  <si>
    <t xml:space="preserve">
</t>
  </si>
  <si>
    <t>Vac. Degasser</t>
  </si>
  <si>
    <t>Survey Data</t>
  </si>
  <si>
    <t>Mica (C)</t>
  </si>
  <si>
    <t>MBT (lb/bbl)</t>
  </si>
  <si>
    <t>PH</t>
  </si>
  <si>
    <t>Filter Cake (1/32")</t>
  </si>
  <si>
    <t>Total Hardness  (mg/lit)</t>
  </si>
  <si>
    <t>API Fluid Loss (cc/30 min)</t>
  </si>
  <si>
    <t>Gel 10 min (lb/100ft2)</t>
  </si>
  <si>
    <t>Gel 10 s (lb/100ft2)</t>
  </si>
  <si>
    <t>Chloride  (mg/lit)</t>
  </si>
  <si>
    <t>Oil / Water (% Vol)</t>
  </si>
  <si>
    <t>Solid (% Vol)</t>
  </si>
  <si>
    <t>PV (CP)</t>
  </si>
  <si>
    <t>Funnel Vis (Sec/QT)</t>
  </si>
  <si>
    <t>Pf / Mf</t>
  </si>
  <si>
    <t>Flowline Temp (°F)</t>
  </si>
  <si>
    <t>Vol. in Hole (bbls)</t>
  </si>
  <si>
    <t>Total Cir. Volume (bbls)</t>
  </si>
  <si>
    <t>Mud Lost at Surface (bbls)</t>
  </si>
  <si>
    <t xml:space="preserve"> Wind Speed (Km/h)</t>
  </si>
  <si>
    <t>Glass Bead (M)</t>
  </si>
  <si>
    <t>6-9</t>
  </si>
  <si>
    <t>Wear Bushing</t>
  </si>
  <si>
    <t xml:space="preserve">Installation or Retrieving of Wear Bushing </t>
  </si>
  <si>
    <t>OD (inch)</t>
  </si>
  <si>
    <t>Annular</t>
  </si>
  <si>
    <t>Double rams</t>
  </si>
  <si>
    <t>55 lb / Sxs</t>
  </si>
  <si>
    <t>5 Gal / Can</t>
  </si>
  <si>
    <t>50 lb / Sxs</t>
  </si>
  <si>
    <t>Ca++ (mg/lit)</t>
  </si>
  <si>
    <t xml:space="preserve">Spacer Spool </t>
  </si>
  <si>
    <t>Single rams</t>
  </si>
  <si>
    <t>C.H.S</t>
  </si>
  <si>
    <t>C.H.H</t>
  </si>
  <si>
    <t>Defoamer (DF-DA3)</t>
  </si>
  <si>
    <t>CFR-DA3</t>
  </si>
  <si>
    <t xml:space="preserve">Calcium chloride </t>
  </si>
  <si>
    <t>55 lb/ sxs</t>
  </si>
  <si>
    <t>DSA Pack Off</t>
  </si>
  <si>
    <t>CR-DA4</t>
  </si>
  <si>
    <t>FLC-DA9 / FLC-DA413</t>
  </si>
  <si>
    <t>CR-DA12</t>
  </si>
  <si>
    <t>Musol Solvent / Paragas</t>
  </si>
  <si>
    <t>Microblock / Surfactant (PA-DA5)</t>
  </si>
  <si>
    <t>T.H.S</t>
  </si>
  <si>
    <t xml:space="preserve">H2S Scavenger </t>
  </si>
  <si>
    <t>SCR Data:</t>
  </si>
  <si>
    <t>:</t>
  </si>
  <si>
    <t>spacer</t>
  </si>
  <si>
    <t xml:space="preserve">Note#07 : </t>
  </si>
  <si>
    <t xml:space="preserve">Note#05 : </t>
  </si>
  <si>
    <t xml:space="preserve">Note#06 : </t>
  </si>
  <si>
    <t xml:space="preserve">Note#04 : </t>
  </si>
  <si>
    <t>AZNS</t>
  </si>
  <si>
    <t>Vertical</t>
  </si>
  <si>
    <t>MSA</t>
  </si>
  <si>
    <t>OEOC</t>
  </si>
  <si>
    <t>OEOC 208</t>
  </si>
  <si>
    <t xml:space="preserve">Note#03 : </t>
  </si>
  <si>
    <t>Aghajari</t>
  </si>
  <si>
    <t>AZNS-207</t>
  </si>
  <si>
    <t>Esmaeili/Gholipur</t>
  </si>
  <si>
    <t>Kwick Seal (M)</t>
  </si>
  <si>
    <t>PPL</t>
  </si>
  <si>
    <t>S.Shahvali</t>
  </si>
  <si>
    <t>A.Eyvazi</t>
  </si>
  <si>
    <t>R.Harati/R.Hezarian</t>
  </si>
  <si>
    <t>Ben. Mud</t>
  </si>
  <si>
    <t xml:space="preserve">BHA No. </t>
  </si>
  <si>
    <t>2 x 100 + 2 x 80 API</t>
  </si>
  <si>
    <t>OEOC Rig</t>
  </si>
  <si>
    <t>Service company</t>
  </si>
  <si>
    <t>N.C</t>
  </si>
  <si>
    <t>5</t>
  </si>
  <si>
    <t>Reserve 2 Vol.(bbls)/MW (PCF)</t>
  </si>
  <si>
    <t>Vol. Info</t>
  </si>
  <si>
    <t>Reserve 3 Vol.(bbls)/MW (PCF)</t>
  </si>
  <si>
    <t>Reserve 4 Vol.(bbls)/MW (PCF)</t>
  </si>
  <si>
    <t>Desilter   (bbls)/PCF</t>
  </si>
  <si>
    <t>Desander  (bbls)/PCF</t>
  </si>
  <si>
    <t>Middle (bbls)/PCF</t>
  </si>
  <si>
    <t>Degasser  (bbls)/PCF</t>
  </si>
  <si>
    <t>Suction 1 Vol.(bbls)/MW (PCF)</t>
  </si>
  <si>
    <t>Suction 2 Vol.(bbls)/MW (PCF)</t>
  </si>
  <si>
    <t xml:space="preserve">Slip &amp; Cut of Drill Line </t>
  </si>
  <si>
    <r>
      <t>YP (lb/100ft</t>
    </r>
    <r>
      <rPr>
        <vertAlign val="superscript"/>
        <sz val="26"/>
        <rFont val="Times New Roman"/>
        <family val="1"/>
      </rPr>
      <t>2</t>
    </r>
    <r>
      <rPr>
        <sz val="26"/>
        <rFont val="Times New Roman"/>
        <family val="1"/>
      </rPr>
      <t>)</t>
    </r>
  </si>
  <si>
    <t>Hole Section</t>
  </si>
  <si>
    <t>Company</t>
  </si>
  <si>
    <t>Service</t>
  </si>
  <si>
    <t>Date In</t>
  </si>
  <si>
    <t>Date Out</t>
  </si>
  <si>
    <t>Duration (Day)</t>
  </si>
  <si>
    <t>Condition</t>
  </si>
  <si>
    <t>Problem/Issue</t>
  </si>
  <si>
    <t>Total NPT (HRS)</t>
  </si>
  <si>
    <t>Job Description</t>
  </si>
  <si>
    <t>Days</t>
  </si>
  <si>
    <t>Activity</t>
  </si>
  <si>
    <t xml:space="preserve">Comments </t>
  </si>
  <si>
    <t>Date Start</t>
  </si>
  <si>
    <t>Date End</t>
  </si>
  <si>
    <t>Equipment To Be Sent Back:</t>
  </si>
  <si>
    <t xml:space="preserve">Request:   </t>
  </si>
  <si>
    <t xml:space="preserve">Prepared By: </t>
  </si>
  <si>
    <t>Approved By:</t>
  </si>
  <si>
    <t>26" HS</t>
  </si>
  <si>
    <t>CSG Running Service</t>
  </si>
  <si>
    <t>18-Oct-2024, 18:00.</t>
  </si>
  <si>
    <t>19-Oct-2024, 18:00</t>
  </si>
  <si>
    <t>Run 20" CSG</t>
  </si>
  <si>
    <t>SPAD Energy</t>
  </si>
  <si>
    <t>CMT Service</t>
  </si>
  <si>
    <t>19-Oct-2024, 08:00.</t>
  </si>
  <si>
    <t>19-Oct-2024, 20:00</t>
  </si>
  <si>
    <t>CMT 20" CSG</t>
  </si>
  <si>
    <t>26"</t>
  </si>
  <si>
    <t>Wellhead Crew</t>
  </si>
  <si>
    <t>19-Oct-2024, 11:00.</t>
  </si>
  <si>
    <t>Install &amp; P.T 20-3/4" C.H.H</t>
  </si>
  <si>
    <t>Operations Lookahead - Rig Name OEOC 208
Well Name AZNS 207, F-20</t>
  </si>
  <si>
    <t>SPUD THE RIG @ 15-Oct-2024, 18:00</t>
  </si>
  <si>
    <t>20"</t>
  </si>
  <si>
    <t>Surface</t>
  </si>
  <si>
    <t>K-55</t>
  </si>
  <si>
    <t>BTC</t>
  </si>
  <si>
    <t>6" M.M J.Mill, 4-1/4" Taper Tap, 8-3/8" M.M.J.Mill, 8-1/2" Bit, 6-1/8" Bit, 5-7/8" Bit, 4-1/2" TP-G2 Pin X 4-1/2" IF box, 7" Circ. Swage, 7" &amp; 4-1/2" Drift, 4-1/2" X 6-1/8" Spirolizer, 7" X 8-1/2" Spirolizer, 4 Jts 20" CSG.</t>
  </si>
  <si>
    <t>SPM</t>
  </si>
  <si>
    <t>SPP</t>
  </si>
  <si>
    <t>FR (GPM)</t>
  </si>
  <si>
    <t>Sand Trap (bbls)/PCF</t>
  </si>
  <si>
    <t xml:space="preserve"> Pump No. #1</t>
  </si>
  <si>
    <t xml:space="preserve"> Pump No. #2</t>
  </si>
  <si>
    <t xml:space="preserve"> Pump No. #3</t>
  </si>
  <si>
    <t>Drilling Operation manager:</t>
  </si>
  <si>
    <t xml:space="preserve">P.Farzaneh </t>
  </si>
  <si>
    <t>20-Oct-2024, 13:30</t>
  </si>
  <si>
    <t>Vira</t>
  </si>
  <si>
    <t>APAD</t>
  </si>
  <si>
    <t>GEO Data</t>
  </si>
  <si>
    <t>Mud Service</t>
  </si>
  <si>
    <t>Waste Management Service</t>
  </si>
  <si>
    <t>Mud Logging Service</t>
  </si>
  <si>
    <t>Spud 15-Oct-2024</t>
  </si>
  <si>
    <t>192,581 E</t>
  </si>
  <si>
    <t>3,441,012 N</t>
  </si>
  <si>
    <t xml:space="preserve">Landing Jt. L/D mouse hole. Cut &amp; L/D 30" conductor pipe. Install Base Plate &amp; Welded same to 20" CSG. Final Cut 20" CSG, Dress &amp; Bevel </t>
  </si>
  <si>
    <t>Note#02 : Due to sever power surges  on 16-Oct-2024, some electrical appliances of mudlogging service got damaged (1No. 21" monitor, 2No. Case power, 1No. Motherboard, 1No. POE access point).</t>
  </si>
  <si>
    <t xml:space="preserve">N/U 20-3/4" BOP Stack as: 20-3/4" 3k X 3k DSA + Spacer Spool + Drlg spool + Double Rams (Blind Rams, 5" Fix Rams) + Ann Preventer. </t>
  </si>
  <si>
    <t>Fuel Rig</t>
  </si>
  <si>
    <t>Fuel Camp</t>
  </si>
  <si>
    <t>Note#01 : Geo Data Mud logging EX monitor for driller not acceptable</t>
  </si>
  <si>
    <t>17-1/2"</t>
  </si>
  <si>
    <t>MT Bit (GAT135G)</t>
  </si>
  <si>
    <t>KingDream</t>
  </si>
  <si>
    <t>135</t>
  </si>
  <si>
    <t>18/32"</t>
  </si>
  <si>
    <t>600</t>
  </si>
  <si>
    <t>10</t>
  </si>
  <si>
    <t>80</t>
  </si>
  <si>
    <t>17-1/2" MT Bit</t>
  </si>
  <si>
    <t>9-1/2" Bit Sub</t>
  </si>
  <si>
    <t>9-1/2" DC</t>
  </si>
  <si>
    <t>XOS</t>
  </si>
  <si>
    <t>3K</t>
  </si>
  <si>
    <t>20-3/4"</t>
  </si>
  <si>
    <t>1403-07-29</t>
  </si>
  <si>
    <t>MSP/DRILEX</t>
  </si>
  <si>
    <t xml:space="preserve">Drlg Spool </t>
  </si>
  <si>
    <t>Blind &amp; 5" Fix Ram</t>
  </si>
  <si>
    <t>1403-07-30</t>
  </si>
  <si>
    <t>Gy Mrl, Rd Mrl, SST</t>
  </si>
  <si>
    <t>RS</t>
  </si>
  <si>
    <t>U-Type</t>
  </si>
  <si>
    <t>Back Load 
or 
Sent</t>
  </si>
  <si>
    <t>Drlg Parameters: WOB: 5-10 klbs, Rot: 70-80 RPM, TQ: 1-1.5 klb.ft, F.R: 550-600GPM, SPP: 500-600psi, On BTM ROP: 2-4 MPH.</t>
  </si>
  <si>
    <t>A.Seifi</t>
  </si>
  <si>
    <t>Needle valve and Press. gauge for Section "A" &amp; "B".</t>
  </si>
  <si>
    <t>Cont. Drlg 17-1/2" HS f/ 155 to 165m; NL. Due to Obs. SPP Drop gradually 100 psi. Check surface line &amp; MPs; Ok. Decided to POOH to surface.</t>
  </si>
  <si>
    <t xml:space="preserve">P/U &amp; M/U 17-1/2" Bit (King dream, Used, 1X18/32" + 2 X Open NZL), 2 Jts 9-1/2" DC + 17-1/2" S.Stab (1/8" U.G) + 4 Jt 9-1/2" DC + X.O.S + </t>
  </si>
  <si>
    <t>6 Jt 8-1/2" DC + 3 Jt 5" HWDP (Jt by Jt) &amp; Followed By 5" DP to 165m.</t>
  </si>
  <si>
    <t>B/R &amp; R/D last drilled Std.</t>
  </si>
  <si>
    <t>Cont. Drlg 17-1/2" HS to 165m, POOH to surface, Obs. 2 No. of NZL Seat area washed out, RIH w/ 17-1/2" Drlg BHA to BTM, Commence Drlg 17-1/2" HS to 225m.</t>
  </si>
  <si>
    <t>Cont. Drlg 17-1/2" HS.</t>
  </si>
  <si>
    <t>Needle valve and Press. gauge for Section "A" &amp; "B"</t>
  </si>
  <si>
    <t>Open</t>
  </si>
  <si>
    <t>60</t>
  </si>
  <si>
    <t>700</t>
  </si>
  <si>
    <t>900</t>
  </si>
  <si>
    <t>P#1 : (180mm x 12")  +  P#2 : (180mm x 12")  + P#3 : (180mm x 12")</t>
  </si>
  <si>
    <t>30</t>
  </si>
  <si>
    <t>120</t>
  </si>
  <si>
    <t>2</t>
  </si>
  <si>
    <t>4</t>
  </si>
  <si>
    <t>350</t>
  </si>
  <si>
    <t>S.Stab</t>
  </si>
  <si>
    <t>8-1/2" DC</t>
  </si>
  <si>
    <t>5" HWDP</t>
  </si>
  <si>
    <t>BHA No. #3</t>
  </si>
  <si>
    <t>Commence Drlg 17-1/2" H.S f/ 165 to 192m, meanwhile apply limited parameters until S.Stab pass 20" Shoe; NL.</t>
  </si>
  <si>
    <t>Drlg. Parameters: WOB: 20-30klb, Rot:100 RPM, TQ: 2-4 Klb.ft, F.R: 900 GPM, SPP: 600psi, ROP: 15-20 MPH</t>
  </si>
  <si>
    <t>Drlg. Parameters: WOB: 10-25klb, Rot:80-120 RPM, TQ: 2-4 Klb.ft, F.R:700-900 GPM, SPP: 350-600psi, ROP: 2-20 MPH</t>
  </si>
  <si>
    <t>HRs</t>
  </si>
  <si>
    <t>A.R.Rezaei</t>
  </si>
  <si>
    <t>102</t>
  </si>
  <si>
    <t>68</t>
  </si>
  <si>
    <t>240</t>
  </si>
  <si>
    <t>Cont. Drlg 17-1/2" HS to 225m; NL. Pump Bentonite Hi-Vis Pill to sweep hole periodically.</t>
  </si>
  <si>
    <t>Cont. Drlg 17-1/2" HS to 280 m; NL. Meanwhile pump Bentonite Hi-Vis Pill to sweep hole.</t>
  </si>
  <si>
    <t>Cont. Drlg 17-1/2" HS f/ 225 to 250m; NL. Meanwhile pump Bentonite Hi-Vis Pill to sweep hole.</t>
  </si>
  <si>
    <t>Cont. Drlg 17-1/2" HS to 310 m; NL. Meanwhile pump Bentonite Hi-Vis Pill to sweep hole.</t>
  </si>
  <si>
    <t>POOH w/ 17-1/2" MT Bit to surface. Obs. 2 No. of NZL Seat area washed out. Check another NZL; OK. (Bit Dull Grading: 1-1-WT-A-E-I-WO-BHA)</t>
  </si>
  <si>
    <t>2No. Oring for plug tester &amp; W.Bushing 11"
1 No. BX 155
1 No. BX 152
1 No. Press. Gauge 10k
1 No. Niddle Valve 10k to rig 201.</t>
  </si>
  <si>
    <t>17-1/2" S.Stab</t>
  </si>
  <si>
    <t>XOS #1 / XOS #2</t>
  </si>
  <si>
    <t>9 1/2" | 6 5/8"</t>
  </si>
  <si>
    <t>17.5"</t>
  </si>
  <si>
    <t>9.5"</t>
  </si>
  <si>
    <t>1015004250 | 1015042069</t>
  </si>
  <si>
    <t>Drilling 17-1/2" HS to 165m. CBU &amp; POOH to surface.</t>
  </si>
  <si>
    <t xml:space="preserve">RIH w/ same bit and S.Stab @ 20m to bottom &amp; Resume Drlg 17-1/2'' HS to 220m. </t>
  </si>
  <si>
    <t>Cont. Drlg 17-1/2'' HS to 450m.</t>
  </si>
  <si>
    <t>CBU, Take Survey.</t>
  </si>
  <si>
    <t>Perform wiper trip.</t>
  </si>
  <si>
    <t>Cont. Drlg 17-1/2'' HS to 750m.</t>
  </si>
  <si>
    <t>Cont. Drlg 17-1/2'' HS to 600m.</t>
  </si>
  <si>
    <t>Displace mud in hole by 72pcf KCL/Polymer mud @ 750m</t>
  </si>
  <si>
    <t>Cont. Drlg 17-1/2'' HS to 800m.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</si>
</sst>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3">
    <numFmt numFmtId="164" formatCode="_ * #,##0.00_)\ [$€-1]_ ;_ * \(#,##0.00\)\ [$€-1]_ ;_ * &quot;-&quot;??_)\ [$€-1]_ ;_ @_ "/>
    <numFmt numFmtId="165" formatCode="0.0"/>
    <numFmt numFmtId="166" formatCode="h:mm;@"/>
    <numFmt numFmtId="167" formatCode="[$-409]dd\-mmm\-yy;@"/>
    <numFmt numFmtId="168" formatCode="[$-409]d\-mmm\-yy;@"/>
    <numFmt numFmtId="169" formatCode="0.000"/>
    <numFmt numFmtId="170" formatCode="[h]:mm"/>
    <numFmt numFmtId="171" formatCode="[$-160429]dd/mm/yyyy;@"/>
    <numFmt numFmtId="172" formatCode="hh:mm\ dd\-mmm\-yy"/>
    <numFmt numFmtId="173" formatCode="[$-409]dd\-mmm\-yyyy;@"/>
    <numFmt numFmtId="174" formatCode="[$]dddd"/>
    <numFmt numFmtId="175" formatCode="[$-1010409]dd\-mmm\-yyyy\ h:mm\ AM/PM;@"/>
    <numFmt numFmtId="176" formatCode="[$-1010409]d/m/yyyy\ h:mm\ AM/PM;@"/>
  </numFmts>
  <fonts count="84">
    <font>
      <sz val="11"/>
      <color theme="1"/>
      <name val="Calibri"/>
      <family val="2"/>
      <scheme val="minor"/>
    </font>
    <font>
      <sz val="10"/>
      <name val="Arial"/>
      <family val="2"/>
    </font>
    <font>
      <sz val="10.5"/>
      <name val="Calibri"/>
      <family val="2"/>
    </font>
    <font>
      <sz val="10"/>
      <name val="Calibri"/>
      <family val="2"/>
    </font>
    <font>
      <sz val="11"/>
      <color theme="1"/>
      <name val="Calibri"/>
      <family val="2"/>
      <scheme val="minor"/>
    </font>
    <font>
      <sz val="11"/>
      <color theme="1"/>
      <name val="Arial"/>
      <family val="2"/>
    </font>
    <font>
      <sz val="10"/>
      <color theme="1"/>
      <name val="Times"/>
      <family val="1"/>
    </font>
    <font>
      <b/>
      <sz val="14"/>
      <color theme="0"/>
      <name val="Times New Roman"/>
      <family val="1"/>
    </font>
    <font>
      <b/>
      <sz val="22"/>
      <color theme="1"/>
      <name val="Times"/>
      <family val="1"/>
    </font>
    <font>
      <b/>
      <sz val="26"/>
      <color theme="1"/>
      <name val="Times New Roman"/>
      <family val="1"/>
    </font>
    <font>
      <b/>
      <sz val="11"/>
      <color theme="1"/>
      <name val="Times"/>
      <family val="1"/>
    </font>
    <font>
      <b/>
      <sz val="24"/>
      <color theme="1"/>
      <name val="Times New Roman"/>
      <family val="1"/>
    </font>
    <font>
      <sz val="12"/>
      <color theme="1"/>
      <name val="Times New Roman"/>
      <family val="1"/>
    </font>
    <font>
      <sz val="22"/>
      <color theme="1"/>
      <name val="Calibri"/>
      <family val="2"/>
      <scheme val="minor"/>
    </font>
    <font>
      <sz val="11.6"/>
      <color rgb="FF343434"/>
      <name val="IRANSans"/>
    </font>
    <font>
      <sz val="10"/>
      <color rgb="FF337AB7"/>
      <name val="IRANSans"/>
    </font>
    <font>
      <sz val="11"/>
      <color theme="0"/>
      <name val="Calibri"/>
      <family val="2"/>
      <scheme val="minor"/>
    </font>
    <font>
      <sz val="18"/>
      <color theme="1"/>
      <name val="Calibri"/>
      <family val="2"/>
      <scheme val="minor"/>
    </font>
    <font>
      <sz val="28"/>
      <color theme="1"/>
      <name val="Calibri"/>
      <family val="2"/>
      <scheme val="minor"/>
    </font>
    <font>
      <sz val="36"/>
      <color theme="1"/>
      <name val="Calibri"/>
      <family val="2"/>
      <scheme val="minor"/>
    </font>
    <font>
      <b/>
      <sz val="36"/>
      <color theme="1"/>
      <name val="Times New Roman"/>
      <family val="1"/>
    </font>
    <font>
      <sz val="36"/>
      <name val="Calibri"/>
      <family val="2"/>
      <scheme val="minor"/>
    </font>
    <font>
      <sz val="26"/>
      <color theme="1"/>
      <name val="Calibri"/>
      <family val="2"/>
      <scheme val="minor"/>
    </font>
    <font>
      <b/>
      <sz val="24"/>
      <color theme="1"/>
      <name val="Calibri"/>
      <family val="2"/>
      <scheme val="minor"/>
    </font>
    <font>
      <sz val="18"/>
      <color theme="0" tint="-0.34998626667073579"/>
      <name val="Calibri"/>
      <family val="2"/>
      <scheme val="minor"/>
    </font>
    <font>
      <b/>
      <sz val="22"/>
      <color theme="1"/>
      <name val="Calibri"/>
      <family val="2"/>
      <scheme val="minor"/>
    </font>
    <font>
      <b/>
      <sz val="26"/>
      <color theme="1"/>
      <name val="Calibri"/>
      <family val="2"/>
      <scheme val="minor"/>
    </font>
    <font>
      <b/>
      <sz val="28"/>
      <color theme="1"/>
      <name val="Calibri"/>
      <family val="2"/>
      <scheme val="minor"/>
    </font>
    <font>
      <b/>
      <sz val="48"/>
      <color theme="1"/>
      <name val="Calibri"/>
      <family val="2"/>
      <scheme val="minor"/>
    </font>
    <font>
      <sz val="16"/>
      <name val="Calibri"/>
      <family val="2"/>
    </font>
    <font>
      <sz val="18"/>
      <color theme="0"/>
      <name val="Calibri"/>
      <family val="2"/>
      <scheme val="minor"/>
    </font>
    <font>
      <b/>
      <sz val="28"/>
      <color rgb="FFC00000"/>
      <name val="Calibri"/>
      <family val="2"/>
      <scheme val="minor"/>
    </font>
    <font>
      <b/>
      <sz val="16"/>
      <name val="Calibri"/>
      <family val="2"/>
    </font>
    <font>
      <b/>
      <sz val="28"/>
      <color theme="1"/>
      <name val="Times New Roman"/>
      <family val="1"/>
    </font>
    <font>
      <b/>
      <sz val="28"/>
      <name val="Calibri"/>
      <family val="2"/>
      <scheme val="minor"/>
    </font>
    <font>
      <sz val="28"/>
      <name val="Calibri"/>
      <family val="2"/>
      <scheme val="minor"/>
    </font>
    <font>
      <b/>
      <sz val="20"/>
      <color theme="1"/>
      <name val="Calibri"/>
      <family val="2"/>
      <scheme val="minor"/>
    </font>
    <font>
      <b/>
      <sz val="11"/>
      <name val="Calibri"/>
      <family val="2"/>
    </font>
    <font>
      <sz val="11"/>
      <name val="Calibri"/>
      <family val="2"/>
    </font>
    <font>
      <sz val="11"/>
      <color theme="1"/>
      <name val="Calibri"/>
      <family val="2"/>
    </font>
    <font>
      <sz val="22"/>
      <name val="Calibri"/>
      <family val="2"/>
    </font>
    <font>
      <sz val="22"/>
      <color theme="1"/>
      <name val="Calibri"/>
      <family val="2"/>
    </font>
    <font>
      <sz val="32"/>
      <color theme="1"/>
      <name val="Calibri"/>
      <family val="2"/>
      <scheme val="minor"/>
    </font>
    <font>
      <b/>
      <sz val="30"/>
      <color theme="1"/>
      <name val="Calibri"/>
      <family val="2"/>
      <scheme val="minor"/>
    </font>
    <font>
      <b/>
      <sz val="26"/>
      <name val="Calibri"/>
      <family val="2"/>
    </font>
    <font>
      <b/>
      <sz val="28"/>
      <color rgb="FFFF0000"/>
      <name val="Calibri"/>
      <family val="2"/>
      <scheme val="minor"/>
    </font>
    <font>
      <b/>
      <sz val="27"/>
      <color theme="1"/>
      <name val="Calibri"/>
      <family val="2"/>
      <scheme val="minor"/>
    </font>
    <font>
      <sz val="18"/>
      <name val="Calibri"/>
      <family val="2"/>
    </font>
    <font>
      <sz val="24"/>
      <color theme="1"/>
      <name val="Calibri"/>
      <family val="2"/>
      <scheme val="minor"/>
    </font>
    <font>
      <sz val="32"/>
      <name val="Calibri"/>
      <family val="2"/>
      <scheme val="minor"/>
    </font>
    <font>
      <b/>
      <sz val="9"/>
      <color indexed="81"/>
      <name val="Tahoma"/>
      <family val="2"/>
    </font>
    <font>
      <sz val="26"/>
      <name val="Calibri"/>
      <family val="2"/>
      <scheme val="minor"/>
    </font>
    <font>
      <sz val="22"/>
      <name val="Calibri"/>
      <family val="2"/>
      <scheme val="minor"/>
    </font>
    <font>
      <sz val="24"/>
      <color theme="1"/>
      <name val="Calibri"/>
      <family val="2"/>
    </font>
    <font>
      <sz val="24"/>
      <name val="Calibri"/>
      <family val="2"/>
    </font>
    <font>
      <sz val="26"/>
      <name val="Calibri"/>
      <family val="2"/>
    </font>
    <font>
      <b/>
      <sz val="28"/>
      <name val="Calibri"/>
      <family val="2"/>
    </font>
    <font>
      <b/>
      <sz val="24"/>
      <name val="Calibri"/>
      <family val="2"/>
    </font>
    <font>
      <sz val="26"/>
      <color theme="1"/>
      <name val="Calibri"/>
      <family val="2"/>
    </font>
    <font>
      <vertAlign val="superscript"/>
      <sz val="26"/>
      <name val="Times New Roman"/>
      <family val="1"/>
    </font>
    <font>
      <sz val="26"/>
      <name val="Times New Roman"/>
      <family val="1"/>
    </font>
    <font>
      <sz val="11"/>
      <color theme="1"/>
      <name val="Cambria"/>
      <family val="1"/>
      <scheme val="major"/>
    </font>
    <font>
      <sz val="10"/>
      <color theme="1"/>
      <name val="Cambria"/>
      <family val="1"/>
      <scheme val="major"/>
    </font>
    <font>
      <sz val="9"/>
      <color theme="1"/>
      <name val="Cambria"/>
      <family val="1"/>
      <scheme val="major"/>
    </font>
    <font>
      <b/>
      <sz val="16"/>
      <name val="Calibri"/>
      <family val="2"/>
      <scheme val="minor"/>
    </font>
    <font>
      <sz val="16"/>
      <name val="Calibri"/>
      <family val="2"/>
      <scheme val="minor"/>
    </font>
    <font>
      <b/>
      <sz val="26"/>
      <name val="Calibri"/>
      <family val="2"/>
      <scheme val="minor"/>
    </font>
    <font>
      <sz val="26"/>
      <name val="Arial"/>
      <family val="2"/>
    </font>
    <font>
      <sz val="28"/>
      <color theme="1"/>
      <name val="Cambria"/>
      <family val="1"/>
      <scheme val="major"/>
    </font>
    <font>
      <b/>
      <sz val="24"/>
      <name val="Calibri"/>
      <family val="2"/>
      <scheme val="minor"/>
    </font>
    <font>
      <b/>
      <sz val="11"/>
      <name val="Calibri"/>
      <family val="2"/>
      <scheme val="minor"/>
    </font>
    <font>
      <sz val="18"/>
      <color theme="1"/>
      <name val="Times New Roman"/>
      <family val="1"/>
    </font>
    <font>
      <b/>
      <sz val="20"/>
      <color theme="0"/>
      <name val="Times New Roman"/>
      <family val="1"/>
    </font>
    <font>
      <b/>
      <sz val="18"/>
      <color theme="1"/>
      <name val="Times New Roman"/>
      <family val="1"/>
    </font>
    <font>
      <b/>
      <sz val="18"/>
      <name val="Times New Roman"/>
      <family val="1"/>
    </font>
    <font>
      <sz val="18"/>
      <name val="Times New Roman"/>
      <family val="1"/>
    </font>
    <font>
      <sz val="18"/>
      <color rgb="FF000000"/>
      <name val="Times New Roman"/>
      <family val="1"/>
    </font>
    <font>
      <b/>
      <i/>
      <sz val="28"/>
      <color theme="3"/>
      <name val="Calibri"/>
      <family val="2"/>
      <scheme val="minor"/>
    </font>
    <font>
      <b/>
      <sz val="22"/>
      <name val="Calibri"/>
      <family val="2"/>
      <scheme val="minor"/>
    </font>
    <font>
      <b/>
      <sz val="24"/>
      <color rgb="FFC00000"/>
      <name val="Calibri"/>
      <family val="2"/>
      <scheme val="minor"/>
    </font>
    <font>
      <sz val="24"/>
      <color rgb="FFFF0000"/>
      <name val="Cambria"/>
      <family val="1"/>
      <scheme val="major"/>
    </font>
    <font>
      <b/>
      <sz val="22"/>
      <color rgb="FFFF0000"/>
      <name val="Calibri"/>
      <family val="2"/>
      <scheme val="minor"/>
    </font>
    <font>
      <b/>
      <sz val="24"/>
      <color rgb="FF0070C0"/>
      <name val="Calibri"/>
      <family val="2"/>
      <scheme val="minor"/>
    </font>
    <font>
      <b/>
      <sz val="24"/>
      <color rgb="FFFF0000"/>
      <name val="Calibri"/>
      <family val="2"/>
      <scheme val="minor"/>
    </font>
  </fonts>
  <fills count="16">
    <fill>
      <patternFill patternType="none"/>
    </fill>
    <fill>
      <patternFill patternType="gray125"/>
    </fill>
    <fill>
      <patternFill patternType="solid">
        <fgColor theme="0" tint="-0.14999847407452621"/>
        <bgColor indexed="64"/>
      </patternFill>
    </fill>
    <fill>
      <patternFill patternType="solid">
        <fgColor theme="0"/>
        <bgColor indexed="64"/>
      </patternFill>
    </fill>
    <fill>
      <patternFill patternType="solid">
        <fgColor theme="6" tint="0.59999389629810485"/>
        <bgColor indexed="64"/>
      </patternFill>
    </fill>
    <fill>
      <patternFill patternType="solid">
        <fgColor theme="4" tint="-0.249977111117893"/>
        <bgColor indexed="64"/>
      </patternFill>
    </fill>
    <fill>
      <patternFill patternType="solid">
        <fgColor theme="1" tint="0.499984740745262"/>
        <bgColor indexed="64"/>
      </patternFill>
    </fill>
    <fill>
      <patternFill patternType="solid">
        <fgColor theme="1" tint="0.34998626667073579"/>
        <bgColor indexed="64"/>
      </patternFill>
    </fill>
    <fill>
      <patternFill patternType="solid">
        <fgColor theme="0" tint="-0.499984740745262"/>
        <bgColor indexed="64"/>
      </patternFill>
    </fill>
    <fill>
      <patternFill patternType="solid">
        <fgColor theme="0" tint="-0.249977111117893"/>
        <bgColor indexed="64"/>
      </patternFill>
    </fill>
    <fill>
      <patternFill patternType="solid">
        <fgColor theme="0" tint="-4.9989318521683403E-2"/>
        <bgColor indexed="64"/>
      </patternFill>
    </fill>
    <fill>
      <patternFill patternType="solid">
        <fgColor theme="3" tint="0.59999389629810485"/>
        <bgColor indexed="64"/>
      </patternFill>
    </fill>
    <fill>
      <patternFill patternType="solid">
        <fgColor rgb="FF92D050"/>
        <bgColor indexed="64"/>
      </patternFill>
    </fill>
    <fill>
      <patternFill patternType="solid">
        <fgColor rgb="FFFFFF00"/>
        <bgColor indexed="64"/>
      </patternFill>
    </fill>
    <fill>
      <patternFill patternType="solid">
        <fgColor theme="3" tint="0.79998168889431442"/>
        <bgColor indexed="64"/>
      </patternFill>
    </fill>
    <fill>
      <patternFill patternType="solid">
        <fgColor theme="5" tint="0.59999389629810485"/>
        <bgColor indexed="64"/>
      </patternFill>
    </fill>
  </fills>
  <borders count="87">
    <border>
      <left/>
      <right/>
      <top/>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right/>
      <top style="medium">
        <color indexed="64"/>
      </top>
      <bottom/>
      <diagonal/>
    </border>
    <border>
      <left style="medium">
        <color indexed="64"/>
      </left>
      <right/>
      <top/>
      <bottom/>
      <diagonal/>
    </border>
    <border>
      <left/>
      <right/>
      <top/>
      <bottom style="thin">
        <color indexed="64"/>
      </bottom>
      <diagonal/>
    </border>
    <border>
      <left/>
      <right style="thin">
        <color indexed="64"/>
      </right>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diagonal/>
    </border>
    <border>
      <left/>
      <right style="medium">
        <color indexed="64"/>
      </right>
      <top style="medium">
        <color indexed="64"/>
      </top>
      <bottom/>
      <diagonal/>
    </border>
    <border>
      <left/>
      <right style="medium">
        <color indexed="64"/>
      </right>
      <top/>
      <bottom/>
      <diagonal/>
    </border>
    <border>
      <left style="medium">
        <color indexed="64"/>
      </left>
      <right/>
      <top style="thin">
        <color indexed="64"/>
      </top>
      <bottom style="thin">
        <color indexed="64"/>
      </bottom>
      <diagonal/>
    </border>
    <border>
      <left style="medium">
        <color indexed="64"/>
      </left>
      <right style="thin">
        <color indexed="64"/>
      </right>
      <top style="thin">
        <color indexed="64"/>
      </top>
      <bottom/>
      <diagonal/>
    </border>
    <border>
      <left style="medium">
        <color indexed="64"/>
      </left>
      <right style="thin">
        <color indexed="64"/>
      </right>
      <top/>
      <bottom style="thin">
        <color indexed="64"/>
      </bottom>
      <diagonal/>
    </border>
    <border>
      <left style="thin">
        <color indexed="64"/>
      </left>
      <right/>
      <top style="thin">
        <color indexed="64"/>
      </top>
      <bottom/>
      <diagonal/>
    </border>
    <border>
      <left style="thin">
        <color indexed="64"/>
      </left>
      <right style="thin">
        <color indexed="64"/>
      </right>
      <top/>
      <bottom style="thin">
        <color indexed="64"/>
      </bottom>
      <diagonal/>
    </border>
    <border>
      <left/>
      <right style="medium">
        <color indexed="64"/>
      </right>
      <top style="thin">
        <color indexed="64"/>
      </top>
      <bottom/>
      <diagonal/>
    </border>
    <border>
      <left/>
      <right style="medium">
        <color indexed="64"/>
      </right>
      <top style="thin">
        <color indexed="64"/>
      </top>
      <bottom style="thin">
        <color indexed="64"/>
      </bottom>
      <diagonal/>
    </border>
    <border>
      <left style="thin">
        <color indexed="64"/>
      </left>
      <right/>
      <top/>
      <bottom style="thin">
        <color indexed="64"/>
      </bottom>
      <diagonal/>
    </border>
    <border>
      <left style="medium">
        <color indexed="64"/>
      </left>
      <right style="thin">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thin">
        <color indexed="64"/>
      </right>
      <top/>
      <bottom/>
      <diagonal/>
    </border>
    <border>
      <left style="medium">
        <color indexed="64"/>
      </left>
      <right style="thin">
        <color indexed="64"/>
      </right>
      <top/>
      <bottom style="medium">
        <color indexed="64"/>
      </bottom>
      <diagonal/>
    </border>
    <border>
      <left style="medium">
        <color indexed="64"/>
      </left>
      <right style="thin">
        <color indexed="64"/>
      </right>
      <top style="medium">
        <color indexed="64"/>
      </top>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style="medium">
        <color indexed="64"/>
      </right>
      <top/>
      <bottom style="thin">
        <color indexed="64"/>
      </bottom>
      <diagonal/>
    </border>
    <border>
      <left style="medium">
        <color indexed="64"/>
      </left>
      <right style="medium">
        <color indexed="64"/>
      </right>
      <top/>
      <bottom/>
      <diagonal/>
    </border>
    <border>
      <left style="medium">
        <color indexed="64"/>
      </left>
      <right/>
      <top style="thin">
        <color indexed="64"/>
      </top>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right/>
      <top style="thick">
        <color indexed="64"/>
      </top>
      <bottom/>
      <diagonal/>
    </border>
    <border>
      <left/>
      <right/>
      <top/>
      <bottom style="thick">
        <color indexed="64"/>
      </bottom>
      <diagonal/>
    </border>
    <border>
      <left style="thin">
        <color indexed="64"/>
      </left>
      <right style="thin">
        <color indexed="64"/>
      </right>
      <top style="thick">
        <color indexed="64"/>
      </top>
      <bottom style="thin">
        <color indexed="64"/>
      </bottom>
      <diagonal/>
    </border>
    <border>
      <left style="medium">
        <color indexed="64"/>
      </left>
      <right/>
      <top/>
      <bottom style="thick">
        <color indexed="64"/>
      </bottom>
      <diagonal/>
    </border>
    <border>
      <left/>
      <right style="medium">
        <color indexed="64"/>
      </right>
      <top/>
      <bottom style="thick">
        <color indexed="64"/>
      </bottom>
      <diagonal/>
    </border>
    <border>
      <left style="medium">
        <color indexed="64"/>
      </left>
      <right/>
      <top style="thick">
        <color indexed="64"/>
      </top>
      <bottom/>
      <diagonal/>
    </border>
    <border>
      <left/>
      <right style="medium">
        <color indexed="64"/>
      </right>
      <top style="thick">
        <color indexed="64"/>
      </top>
      <bottom/>
      <diagonal/>
    </border>
    <border>
      <left style="medium">
        <color indexed="64"/>
      </left>
      <right style="thin">
        <color indexed="64"/>
      </right>
      <top style="thick">
        <color indexed="64"/>
      </top>
      <bottom style="thin">
        <color indexed="64"/>
      </bottom>
      <diagonal/>
    </border>
    <border>
      <left style="thin">
        <color indexed="64"/>
      </left>
      <right style="medium">
        <color indexed="64"/>
      </right>
      <top style="thick">
        <color indexed="64"/>
      </top>
      <bottom style="thin">
        <color indexed="64"/>
      </bottom>
      <diagonal/>
    </border>
    <border>
      <left/>
      <right style="thin">
        <color indexed="64"/>
      </right>
      <top style="medium">
        <color indexed="64"/>
      </top>
      <bottom style="thin">
        <color indexed="64"/>
      </bottom>
      <diagonal/>
    </border>
    <border>
      <left/>
      <right style="medium">
        <color indexed="64"/>
      </right>
      <top style="thin">
        <color indexed="64"/>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thin">
        <color indexed="64"/>
      </left>
      <right/>
      <top style="medium">
        <color indexed="64"/>
      </top>
      <bottom style="thin">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ck">
        <color indexed="64"/>
      </left>
      <right style="thin">
        <color indexed="64"/>
      </right>
      <top style="medium">
        <color indexed="64"/>
      </top>
      <bottom style="thin">
        <color indexed="64"/>
      </bottom>
      <diagonal/>
    </border>
    <border>
      <left style="thick">
        <color indexed="64"/>
      </left>
      <right style="thin">
        <color indexed="64"/>
      </right>
      <top style="thin">
        <color indexed="64"/>
      </top>
      <bottom style="thin">
        <color indexed="64"/>
      </bottom>
      <diagonal/>
    </border>
    <border>
      <left style="thick">
        <color indexed="64"/>
      </left>
      <right/>
      <top style="thin">
        <color indexed="64"/>
      </top>
      <bottom style="thin">
        <color indexed="64"/>
      </bottom>
      <diagonal/>
    </border>
    <border>
      <left style="thick">
        <color indexed="64"/>
      </left>
      <right/>
      <top style="thin">
        <color indexed="64"/>
      </top>
      <bottom style="medium">
        <color indexed="64"/>
      </bottom>
      <diagonal/>
    </border>
    <border>
      <left style="thin">
        <color indexed="64"/>
      </left>
      <right/>
      <top style="medium">
        <color indexed="64"/>
      </top>
      <bottom style="medium">
        <color indexed="64"/>
      </bottom>
      <diagonal/>
    </border>
    <border>
      <left style="thick">
        <color indexed="64"/>
      </left>
      <right style="thin">
        <color indexed="64"/>
      </right>
      <top style="medium">
        <color indexed="64"/>
      </top>
      <bottom style="medium">
        <color indexed="64"/>
      </bottom>
      <diagonal/>
    </border>
    <border>
      <left style="thin">
        <color indexed="64"/>
      </left>
      <right style="thin">
        <color indexed="64"/>
      </right>
      <top/>
      <bottom style="medium">
        <color indexed="64"/>
      </bottom>
      <diagonal/>
    </border>
    <border>
      <left style="medium">
        <color indexed="64"/>
      </left>
      <right/>
      <top style="medium">
        <color indexed="64"/>
      </top>
      <bottom style="medium">
        <color indexed="64"/>
      </bottom>
      <diagonal/>
    </border>
    <border>
      <left/>
      <right style="thin">
        <color indexed="64"/>
      </right>
      <top style="medium">
        <color indexed="64"/>
      </top>
      <bottom/>
      <diagonal/>
    </border>
    <border>
      <left/>
      <right style="thin">
        <color indexed="64"/>
      </right>
      <top/>
      <bottom/>
      <diagonal/>
    </border>
    <border>
      <left/>
      <right style="thin">
        <color indexed="64"/>
      </right>
      <top/>
      <bottom style="medium">
        <color indexed="64"/>
      </bottom>
      <diagonal/>
    </border>
    <border>
      <left style="thin">
        <color indexed="64"/>
      </left>
      <right/>
      <top/>
      <bottom/>
      <diagonal/>
    </border>
    <border>
      <left style="medium">
        <color indexed="64"/>
      </left>
      <right/>
      <top style="thin">
        <color indexed="64"/>
      </top>
      <bottom style="medium">
        <color indexed="64"/>
      </bottom>
      <diagonal/>
    </border>
    <border>
      <left style="thin">
        <color indexed="64"/>
      </left>
      <right/>
      <top/>
      <bottom style="medium">
        <color indexed="64"/>
      </bottom>
      <diagonal/>
    </border>
    <border>
      <left/>
      <right style="thin">
        <color indexed="64"/>
      </right>
      <top style="medium">
        <color indexed="64"/>
      </top>
      <bottom style="medium">
        <color indexed="64"/>
      </bottom>
      <diagonal/>
    </border>
    <border>
      <left style="thin">
        <color indexed="64"/>
      </left>
      <right/>
      <top style="medium">
        <color indexed="64"/>
      </top>
      <bottom/>
      <diagonal/>
    </border>
    <border>
      <left/>
      <right style="medium">
        <color indexed="64"/>
      </right>
      <top/>
      <bottom style="thin">
        <color indexed="64"/>
      </bottom>
      <diagonal/>
    </border>
    <border>
      <left style="medium">
        <color indexed="64"/>
      </left>
      <right style="medium">
        <color indexed="64"/>
      </right>
      <top/>
      <bottom style="medium">
        <color indexed="64"/>
      </bottom>
      <diagonal/>
    </border>
  </borders>
  <cellStyleXfs count="9">
    <xf numFmtId="0" fontId="0" fillId="0" borderId="0"/>
    <xf numFmtId="164" fontId="1" fillId="0" borderId="0"/>
    <xf numFmtId="0" fontId="5" fillId="0" borderId="0"/>
    <xf numFmtId="167" fontId="5" fillId="0" borderId="0"/>
    <xf numFmtId="0" fontId="1" fillId="0" borderId="0"/>
    <xf numFmtId="0" fontId="4" fillId="0" borderId="0"/>
    <xf numFmtId="168" fontId="5" fillId="0" borderId="0"/>
    <xf numFmtId="168" fontId="5" fillId="0" borderId="0"/>
    <xf numFmtId="167" fontId="5" fillId="0" borderId="0"/>
  </cellStyleXfs>
  <cellXfs count="1051">
    <xf numFmtId="0" fontId="0" fillId="0" borderId="0" xfId="0"/>
    <xf numFmtId="0" fontId="3" fillId="0" borderId="0" xfId="2" applyFont="1" applyFill="1" applyProtection="1">
      <protection locked="0"/>
    </xf>
    <xf numFmtId="0" fontId="3" fillId="0" borderId="0" xfId="2" applyFont="1" applyFill="1" applyBorder="1" applyProtection="1">
      <protection locked="0"/>
    </xf>
    <xf numFmtId="0" fontId="2" fillId="0" borderId="0" xfId="2" applyFont="1" applyFill="1" applyProtection="1">
      <protection locked="0"/>
    </xf>
    <xf numFmtId="0" fontId="8" fillId="3" borderId="0" xfId="2" applyFont="1" applyFill="1" applyBorder="1" applyAlignment="1" applyProtection="1">
      <alignment vertical="center" wrapText="1"/>
    </xf>
    <xf numFmtId="0" fontId="9" fillId="3" borderId="0" xfId="2" applyFont="1" applyFill="1" applyBorder="1" applyAlignment="1" applyProtection="1">
      <alignment vertical="center" wrapText="1"/>
    </xf>
    <xf numFmtId="0" fontId="6" fillId="0" borderId="0" xfId="2" applyFont="1" applyFill="1" applyBorder="1" applyProtection="1">
      <protection locked="0"/>
    </xf>
    <xf numFmtId="49" fontId="7" fillId="5" borderId="27" xfId="2" applyNumberFormat="1" applyFont="1" applyFill="1" applyBorder="1" applyAlignment="1" applyProtection="1">
      <alignment horizontal="centerContinuous" vertical="center"/>
    </xf>
    <xf numFmtId="0" fontId="12" fillId="4" borderId="32" xfId="0" applyFont="1" applyFill="1" applyBorder="1" applyAlignment="1">
      <alignment vertical="center"/>
    </xf>
    <xf numFmtId="15" fontId="0" fillId="0" borderId="0" xfId="0" applyNumberFormat="1"/>
    <xf numFmtId="0" fontId="15" fillId="0" borderId="0" xfId="0" applyFont="1" applyAlignment="1">
      <alignment horizontal="center" vertical="center" wrapText="1"/>
    </xf>
    <xf numFmtId="0" fontId="14" fillId="0" borderId="0" xfId="0" applyFont="1" applyAlignment="1">
      <alignment horizontal="center" vertical="center" wrapText="1" readingOrder="2"/>
    </xf>
    <xf numFmtId="0" fontId="16" fillId="6" borderId="0" xfId="0" applyFont="1" applyFill="1"/>
    <xf numFmtId="0" fontId="16" fillId="6" borderId="0" xfId="0" applyFont="1" applyFill="1" applyAlignment="1">
      <alignment horizontal="center" vertical="center"/>
    </xf>
    <xf numFmtId="0" fontId="16" fillId="6" borderId="0" xfId="0" applyFont="1" applyFill="1" applyAlignment="1">
      <alignment horizontal="center"/>
    </xf>
    <xf numFmtId="12" fontId="0" fillId="0" borderId="0" xfId="0" applyNumberFormat="1"/>
    <xf numFmtId="0" fontId="16" fillId="7" borderId="0" xfId="0" applyFont="1" applyFill="1"/>
    <xf numFmtId="0" fontId="16" fillId="7" borderId="0" xfId="0" applyFont="1" applyFill="1" applyAlignment="1">
      <alignment horizontal="center"/>
    </xf>
    <xf numFmtId="0" fontId="16" fillId="8" borderId="0" xfId="0" applyFont="1" applyFill="1"/>
    <xf numFmtId="0" fontId="0" fillId="0" borderId="0" xfId="0" applyAlignment="1">
      <alignment horizontal="center"/>
    </xf>
    <xf numFmtId="0" fontId="0" fillId="0" borderId="0" xfId="0" applyAlignment="1">
      <alignment horizontal="center" vertical="center"/>
    </xf>
    <xf numFmtId="0" fontId="16" fillId="8" borderId="0" xfId="0" applyFont="1" applyFill="1" applyAlignment="1">
      <alignment horizontal="center" vertical="center"/>
    </xf>
    <xf numFmtId="0" fontId="0" fillId="0" borderId="0" xfId="0" quotePrefix="1" applyAlignment="1">
      <alignment horizontal="center" vertical="center"/>
    </xf>
    <xf numFmtId="165" fontId="21" fillId="0" borderId="0" xfId="2" applyNumberFormat="1" applyFont="1" applyFill="1" applyBorder="1" applyAlignment="1" applyProtection="1">
      <alignment horizontal="left" vertical="center"/>
      <protection locked="0"/>
    </xf>
    <xf numFmtId="0" fontId="2" fillId="0" borderId="0" xfId="2" applyFont="1" applyFill="1" applyBorder="1" applyProtection="1">
      <protection locked="0"/>
    </xf>
    <xf numFmtId="0" fontId="3" fillId="3" borderId="0" xfId="2" applyFont="1" applyFill="1" applyBorder="1" applyProtection="1">
      <protection locked="0"/>
    </xf>
    <xf numFmtId="0" fontId="0" fillId="0" borderId="0" xfId="0" applyBorder="1"/>
    <xf numFmtId="0" fontId="0" fillId="0" borderId="0" xfId="0" applyFill="1" applyBorder="1"/>
    <xf numFmtId="0" fontId="16" fillId="8" borderId="0" xfId="0" applyFont="1" applyFill="1" applyAlignment="1">
      <alignment horizontal="center"/>
    </xf>
    <xf numFmtId="0" fontId="0" fillId="0" borderId="0" xfId="0" applyBorder="1"/>
    <xf numFmtId="0" fontId="0" fillId="0" borderId="0" xfId="0" applyBorder="1"/>
    <xf numFmtId="0" fontId="0" fillId="0" borderId="0" xfId="0" applyBorder="1"/>
    <xf numFmtId="0" fontId="0" fillId="0" borderId="0" xfId="0" applyBorder="1"/>
    <xf numFmtId="0" fontId="11" fillId="0" borderId="16" xfId="0" applyFont="1" applyBorder="1" applyAlignment="1" applyProtection="1">
      <alignment horizontal="center" vertical="center" wrapText="1" shrinkToFit="1"/>
    </xf>
    <xf numFmtId="0" fontId="11" fillId="0" borderId="8" xfId="0" applyFont="1" applyBorder="1" applyAlignment="1" applyProtection="1">
      <alignment horizontal="center" vertical="center" wrapText="1" shrinkToFit="1"/>
    </xf>
    <xf numFmtId="0" fontId="11" fillId="0" borderId="17" xfId="0" applyFont="1" applyBorder="1" applyAlignment="1" applyProtection="1">
      <alignment horizontal="center" vertical="center" wrapText="1" shrinkToFit="1"/>
    </xf>
    <xf numFmtId="0" fontId="11" fillId="0" borderId="9" xfId="0" applyFont="1" applyBorder="1" applyAlignment="1" applyProtection="1">
      <alignment horizontal="center" vertical="center" wrapText="1" shrinkToFit="1"/>
    </xf>
    <xf numFmtId="0" fontId="11" fillId="0" borderId="18" xfId="0" applyFont="1" applyBorder="1" applyAlignment="1" applyProtection="1">
      <alignment horizontal="center" vertical="center" wrapText="1" shrinkToFit="1"/>
    </xf>
    <xf numFmtId="0" fontId="17" fillId="0" borderId="0" xfId="0" applyFont="1" applyBorder="1"/>
    <xf numFmtId="0" fontId="24" fillId="0" borderId="0" xfId="0" applyFont="1" applyBorder="1"/>
    <xf numFmtId="0" fontId="17" fillId="0" borderId="0" xfId="0" applyFont="1" applyFill="1" applyBorder="1"/>
    <xf numFmtId="0" fontId="25" fillId="9" borderId="2" xfId="0" applyFont="1" applyFill="1" applyBorder="1" applyAlignment="1" applyProtection="1">
      <alignment horizontal="center" vertical="center"/>
    </xf>
    <xf numFmtId="0" fontId="30" fillId="0" borderId="0" xfId="0" applyFont="1" applyBorder="1"/>
    <xf numFmtId="0" fontId="30" fillId="0" borderId="0" xfId="0" applyFont="1" applyBorder="1" applyAlignment="1">
      <alignment horizontal="center"/>
    </xf>
    <xf numFmtId="0" fontId="16" fillId="0" borderId="0" xfId="0" applyFont="1" applyFill="1" applyBorder="1"/>
    <xf numFmtId="0" fontId="16" fillId="0" borderId="0" xfId="0" applyFont="1" applyFill="1" applyBorder="1" applyAlignment="1">
      <alignment horizontal="center" vertical="center"/>
    </xf>
    <xf numFmtId="0" fontId="23" fillId="9" borderId="2" xfId="0" applyFont="1" applyFill="1" applyBorder="1" applyAlignment="1" applyProtection="1">
      <alignment horizontal="center" vertical="center"/>
    </xf>
    <xf numFmtId="0" fontId="17" fillId="0" borderId="8" xfId="0" applyFont="1" applyBorder="1" applyProtection="1">
      <protection locked="0"/>
    </xf>
    <xf numFmtId="0" fontId="17" fillId="0" borderId="0" xfId="0" applyFont="1" applyBorder="1" applyProtection="1">
      <protection locked="0"/>
    </xf>
    <xf numFmtId="0" fontId="17" fillId="0" borderId="9" xfId="0" applyFont="1" applyBorder="1" applyProtection="1">
      <protection locked="0"/>
    </xf>
    <xf numFmtId="0" fontId="17" fillId="0" borderId="18" xfId="0" applyFont="1" applyBorder="1" applyProtection="1">
      <protection locked="0"/>
    </xf>
    <xf numFmtId="0" fontId="22" fillId="0" borderId="39" xfId="0" applyFont="1" applyBorder="1" applyAlignment="1" applyProtection="1">
      <alignment horizontal="center" vertical="center"/>
    </xf>
    <xf numFmtId="165" fontId="26" fillId="0" borderId="40" xfId="0" applyNumberFormat="1" applyFont="1" applyBorder="1" applyAlignment="1" applyProtection="1">
      <alignment horizontal="center"/>
    </xf>
    <xf numFmtId="0" fontId="23" fillId="9" borderId="2" xfId="0" applyFont="1" applyFill="1" applyBorder="1" applyAlignment="1" applyProtection="1">
      <alignment horizontal="center"/>
    </xf>
    <xf numFmtId="0" fontId="23" fillId="9" borderId="32" xfId="0" applyFont="1" applyFill="1" applyBorder="1" applyAlignment="1" applyProtection="1">
      <alignment horizontal="center" vertical="center"/>
    </xf>
    <xf numFmtId="0" fontId="26" fillId="0" borderId="40" xfId="0" applyFont="1" applyBorder="1" applyAlignment="1" applyProtection="1">
      <alignment horizontal="center"/>
    </xf>
    <xf numFmtId="0" fontId="29" fillId="0" borderId="0" xfId="2" applyFont="1" applyFill="1" applyProtection="1">
      <protection locked="0"/>
    </xf>
    <xf numFmtId="15" fontId="29" fillId="0" borderId="0" xfId="2" applyNumberFormat="1" applyFont="1" applyFill="1" applyBorder="1" applyProtection="1">
      <protection locked="0"/>
    </xf>
    <xf numFmtId="0" fontId="29" fillId="0" borderId="0" xfId="2" applyFont="1" applyFill="1" applyBorder="1" applyProtection="1">
      <protection locked="0"/>
    </xf>
    <xf numFmtId="0" fontId="29" fillId="0" borderId="0" xfId="2" applyFont="1" applyFill="1" applyProtection="1"/>
    <xf numFmtId="165" fontId="29" fillId="0" borderId="0" xfId="2" applyNumberFormat="1" applyFont="1" applyFill="1" applyBorder="1" applyProtection="1">
      <protection locked="0"/>
    </xf>
    <xf numFmtId="0" fontId="32" fillId="0" borderId="0" xfId="2" applyFont="1" applyFill="1" applyBorder="1" applyAlignment="1" applyProtection="1">
      <alignment vertical="center"/>
      <protection locked="0"/>
    </xf>
    <xf numFmtId="168" fontId="29" fillId="0" borderId="0" xfId="2" applyNumberFormat="1" applyFont="1" applyFill="1" applyBorder="1" applyAlignment="1" applyProtection="1">
      <alignment vertical="center"/>
      <protection locked="0"/>
    </xf>
    <xf numFmtId="0" fontId="29" fillId="0" borderId="0" xfId="2" applyFont="1" applyFill="1" applyBorder="1" applyAlignment="1" applyProtection="1">
      <alignment vertical="center"/>
      <protection locked="0"/>
    </xf>
    <xf numFmtId="0" fontId="29" fillId="0" borderId="0" xfId="2" applyFont="1" applyFill="1" applyAlignment="1" applyProtection="1">
      <alignment vertical="center"/>
      <protection locked="0"/>
    </xf>
    <xf numFmtId="20" fontId="29" fillId="0" borderId="0" xfId="2" applyNumberFormat="1" applyFont="1" applyFill="1" applyBorder="1" applyAlignment="1" applyProtection="1">
      <alignment vertical="center"/>
      <protection locked="0"/>
    </xf>
    <xf numFmtId="0" fontId="18" fillId="0" borderId="2" xfId="0" applyFont="1" applyBorder="1" applyAlignment="1" applyProtection="1">
      <alignment horizontal="center" vertical="center"/>
      <protection locked="0"/>
    </xf>
    <xf numFmtId="0" fontId="27" fillId="0" borderId="2" xfId="0" applyFont="1" applyBorder="1" applyAlignment="1" applyProtection="1">
      <alignment horizontal="center" vertical="center"/>
    </xf>
    <xf numFmtId="165" fontId="27" fillId="0" borderId="32" xfId="0" applyNumberFormat="1" applyFont="1" applyBorder="1" applyAlignment="1" applyProtection="1">
      <alignment horizontal="center" vertical="center"/>
    </xf>
    <xf numFmtId="0" fontId="18" fillId="0" borderId="2" xfId="0" applyFont="1" applyBorder="1" applyAlignment="1" applyProtection="1">
      <alignment horizontal="center" vertical="center"/>
    </xf>
    <xf numFmtId="0" fontId="18" fillId="0" borderId="14" xfId="0" applyFont="1" applyBorder="1" applyAlignment="1" applyProtection="1">
      <alignment horizontal="center" vertical="center"/>
      <protection locked="0"/>
    </xf>
    <xf numFmtId="0" fontId="18" fillId="0" borderId="1" xfId="0" applyFont="1" applyBorder="1" applyAlignment="1" applyProtection="1">
      <alignment horizontal="center" vertical="center"/>
      <protection locked="0"/>
    </xf>
    <xf numFmtId="0" fontId="18" fillId="0" borderId="15" xfId="0" applyFont="1" applyBorder="1" applyAlignment="1" applyProtection="1">
      <alignment horizontal="center" vertical="center"/>
      <protection locked="0"/>
    </xf>
    <xf numFmtId="0" fontId="27" fillId="0" borderId="7" xfId="0" applyFont="1" applyBorder="1" applyAlignment="1" applyProtection="1">
      <alignment vertical="center"/>
    </xf>
    <xf numFmtId="0" fontId="27" fillId="0" borderId="7" xfId="0" applyFont="1" applyBorder="1" applyAlignment="1" applyProtection="1">
      <alignment vertical="center"/>
      <protection locked="0"/>
    </xf>
    <xf numFmtId="0" fontId="27" fillId="0" borderId="2" xfId="0" applyFont="1" applyBorder="1" applyAlignment="1" applyProtection="1">
      <alignment vertical="center"/>
    </xf>
    <xf numFmtId="0" fontId="27" fillId="0" borderId="2" xfId="0" applyFont="1" applyBorder="1" applyAlignment="1" applyProtection="1">
      <alignment vertical="center"/>
      <protection locked="0"/>
    </xf>
    <xf numFmtId="0" fontId="27" fillId="0" borderId="5" xfId="0" applyFont="1" applyBorder="1" applyAlignment="1" applyProtection="1">
      <alignment horizontal="center" vertical="center"/>
      <protection locked="0"/>
    </xf>
    <xf numFmtId="0" fontId="18" fillId="0" borderId="2" xfId="0" applyFont="1" applyBorder="1" applyAlignment="1" applyProtection="1">
      <alignment horizontal="center" vertical="center"/>
      <protection locked="0"/>
    </xf>
    <xf numFmtId="0" fontId="27" fillId="0" borderId="2" xfId="0" applyFont="1" applyBorder="1" applyAlignment="1" applyProtection="1">
      <alignment horizontal="center" vertical="center"/>
    </xf>
    <xf numFmtId="0" fontId="0" fillId="0" borderId="0" xfId="0" applyBorder="1"/>
    <xf numFmtId="0" fontId="32" fillId="0" borderId="0" xfId="2" applyFont="1" applyFill="1" applyBorder="1" applyProtection="1">
      <protection locked="0"/>
    </xf>
    <xf numFmtId="0" fontId="38" fillId="3" borderId="0" xfId="2" applyFont="1" applyFill="1" applyBorder="1" applyAlignment="1" applyProtection="1">
      <alignment horizontal="center" vertical="center"/>
      <protection locked="0"/>
    </xf>
    <xf numFmtId="0" fontId="39" fillId="3" borderId="0" xfId="2" applyFont="1" applyFill="1" applyBorder="1" applyAlignment="1" applyProtection="1">
      <alignment horizontal="center" vertical="center"/>
      <protection locked="0"/>
    </xf>
    <xf numFmtId="0" fontId="39" fillId="0" borderId="0" xfId="0" applyFont="1" applyFill="1" applyBorder="1" applyAlignment="1" applyProtection="1">
      <alignment horizontal="center" vertical="center"/>
      <protection locked="0"/>
    </xf>
    <xf numFmtId="49" fontId="39" fillId="3" borderId="0" xfId="0" applyNumberFormat="1" applyFont="1" applyFill="1" applyBorder="1" applyAlignment="1" applyProtection="1">
      <alignment horizontal="center"/>
      <protection locked="0"/>
    </xf>
    <xf numFmtId="0" fontId="39" fillId="3" borderId="0" xfId="0" applyFont="1" applyFill="1" applyBorder="1" applyAlignment="1" applyProtection="1">
      <alignment horizontal="center"/>
      <protection locked="0"/>
    </xf>
    <xf numFmtId="0" fontId="39" fillId="0" borderId="0" xfId="0" applyFont="1" applyFill="1" applyBorder="1" applyAlignment="1" applyProtection="1">
      <alignment horizontal="center"/>
      <protection locked="0"/>
    </xf>
    <xf numFmtId="0" fontId="39" fillId="3" borderId="0" xfId="0" applyFont="1" applyFill="1" applyBorder="1" applyAlignment="1" applyProtection="1">
      <alignment horizontal="center" vertical="center"/>
      <protection locked="0"/>
    </xf>
    <xf numFmtId="0" fontId="39" fillId="3" borderId="0" xfId="0" applyFont="1" applyFill="1" applyBorder="1" applyAlignment="1" applyProtection="1">
      <alignment horizontal="center" vertical="center" shrinkToFit="1"/>
      <protection locked="0"/>
    </xf>
    <xf numFmtId="0" fontId="39" fillId="3" borderId="0" xfId="0" applyFont="1" applyFill="1" applyBorder="1" applyAlignment="1" applyProtection="1">
      <alignment horizontal="center" vertical="center" wrapText="1" shrinkToFit="1"/>
      <protection locked="0"/>
    </xf>
    <xf numFmtId="0" fontId="40" fillId="3" borderId="3" xfId="0" applyFont="1" applyFill="1" applyBorder="1" applyAlignment="1" applyProtection="1">
      <alignment horizontal="center" vertical="center"/>
      <protection locked="0"/>
    </xf>
    <xf numFmtId="2" fontId="40" fillId="3" borderId="2" xfId="0" applyNumberFormat="1" applyFont="1" applyFill="1" applyBorder="1" applyAlignment="1" applyProtection="1">
      <alignment horizontal="center" vertical="center"/>
      <protection locked="0"/>
    </xf>
    <xf numFmtId="0" fontId="40" fillId="0" borderId="3" xfId="0" applyFont="1" applyFill="1" applyBorder="1" applyAlignment="1" applyProtection="1">
      <alignment horizontal="center" vertical="center"/>
      <protection locked="0"/>
    </xf>
    <xf numFmtId="0" fontId="29" fillId="0" borderId="2" xfId="2" applyFont="1" applyFill="1" applyBorder="1" applyProtection="1">
      <protection locked="0"/>
    </xf>
    <xf numFmtId="0" fontId="29" fillId="0" borderId="3" xfId="2" applyFont="1" applyFill="1" applyBorder="1" applyProtection="1">
      <protection locked="0"/>
    </xf>
    <xf numFmtId="0" fontId="29" fillId="0" borderId="4" xfId="2" applyFont="1" applyFill="1" applyBorder="1" applyProtection="1">
      <protection locked="0"/>
    </xf>
    <xf numFmtId="0" fontId="29" fillId="0" borderId="5" xfId="2" applyFont="1" applyFill="1" applyBorder="1" applyProtection="1">
      <protection locked="0"/>
    </xf>
    <xf numFmtId="2" fontId="40" fillId="3" borderId="32" xfId="0" applyNumberFormat="1" applyFont="1" applyFill="1" applyBorder="1" applyAlignment="1" applyProtection="1">
      <alignment horizontal="center" vertical="center"/>
      <protection locked="0"/>
    </xf>
    <xf numFmtId="0" fontId="11" fillId="0" borderId="0" xfId="0" applyFont="1" applyBorder="1" applyAlignment="1" applyProtection="1">
      <alignment horizontal="center" vertical="center" wrapText="1" shrinkToFit="1"/>
    </xf>
    <xf numFmtId="0" fontId="47" fillId="3" borderId="3" xfId="0" applyFont="1" applyFill="1" applyBorder="1" applyAlignment="1" applyProtection="1">
      <alignment horizontal="center" vertical="center"/>
      <protection locked="0"/>
    </xf>
    <xf numFmtId="12" fontId="40" fillId="3" borderId="2" xfId="0" applyNumberFormat="1" applyFont="1" applyFill="1" applyBorder="1" applyAlignment="1" applyProtection="1">
      <alignment horizontal="center" vertical="center"/>
      <protection locked="0"/>
    </xf>
    <xf numFmtId="168" fontId="40" fillId="3" borderId="32" xfId="0" applyNumberFormat="1" applyFont="1" applyFill="1" applyBorder="1" applyAlignment="1" applyProtection="1">
      <alignment horizontal="center" vertical="center"/>
      <protection locked="0"/>
    </xf>
    <xf numFmtId="0" fontId="40" fillId="0" borderId="2" xfId="0" applyFont="1" applyFill="1" applyBorder="1" applyAlignment="1" applyProtection="1">
      <alignment horizontal="center" vertical="center"/>
      <protection locked="0"/>
    </xf>
    <xf numFmtId="0" fontId="40" fillId="0" borderId="15" xfId="0" applyFont="1" applyFill="1" applyBorder="1" applyAlignment="1" applyProtection="1">
      <alignment horizontal="center" vertical="center"/>
      <protection locked="0"/>
    </xf>
    <xf numFmtId="0" fontId="40" fillId="3" borderId="15" xfId="0" applyFont="1" applyFill="1" applyBorder="1" applyAlignment="1" applyProtection="1">
      <alignment horizontal="center" vertical="center"/>
      <protection locked="0"/>
    </xf>
    <xf numFmtId="0" fontId="18" fillId="3" borderId="2" xfId="0" applyFont="1" applyFill="1" applyBorder="1" applyAlignment="1" applyProtection="1">
      <alignment horizontal="center" vertical="center"/>
      <protection locked="0"/>
    </xf>
    <xf numFmtId="0" fontId="40" fillId="3" borderId="2" xfId="0" applyFont="1" applyFill="1" applyBorder="1" applyAlignment="1" applyProtection="1">
      <alignment horizontal="center" vertical="center"/>
      <protection locked="0"/>
    </xf>
    <xf numFmtId="2" fontId="40" fillId="3" borderId="14" xfId="0" applyNumberFormat="1" applyFont="1" applyFill="1" applyBorder="1" applyAlignment="1" applyProtection="1">
      <alignment horizontal="center" vertical="center"/>
      <protection locked="0"/>
    </xf>
    <xf numFmtId="2" fontId="40" fillId="0" borderId="14" xfId="0" applyNumberFormat="1" applyFont="1" applyFill="1" applyBorder="1" applyAlignment="1" applyProtection="1">
      <alignment horizontal="center" vertical="center"/>
      <protection locked="0"/>
    </xf>
    <xf numFmtId="12" fontId="40" fillId="3" borderId="2" xfId="0" applyNumberFormat="1" applyFont="1" applyFill="1" applyBorder="1" applyAlignment="1" applyProtection="1">
      <alignment horizontal="center" vertical="center"/>
      <protection locked="0"/>
    </xf>
    <xf numFmtId="0" fontId="40" fillId="3" borderId="2" xfId="0" applyFont="1" applyFill="1" applyBorder="1" applyAlignment="1" applyProtection="1">
      <alignment horizontal="center" vertical="center"/>
      <protection locked="0"/>
    </xf>
    <xf numFmtId="0" fontId="54" fillId="3" borderId="3" xfId="0" applyFont="1" applyFill="1" applyBorder="1" applyAlignment="1" applyProtection="1">
      <alignment horizontal="center" vertical="center"/>
      <protection locked="0"/>
    </xf>
    <xf numFmtId="12" fontId="40" fillId="3" borderId="2" xfId="0" applyNumberFormat="1" applyFont="1" applyFill="1" applyBorder="1" applyAlignment="1" applyProtection="1">
      <alignment horizontal="center" vertical="center"/>
      <protection locked="0"/>
    </xf>
    <xf numFmtId="0" fontId="40" fillId="3" borderId="2" xfId="0" applyFont="1" applyFill="1" applyBorder="1" applyAlignment="1" applyProtection="1">
      <alignment horizontal="center" vertical="center"/>
      <protection locked="0"/>
    </xf>
    <xf numFmtId="0" fontId="40" fillId="0" borderId="3" xfId="0" applyFont="1" applyFill="1" applyBorder="1" applyAlignment="1" applyProtection="1">
      <alignment horizontal="left" vertical="center"/>
      <protection locked="0"/>
    </xf>
    <xf numFmtId="169" fontId="54" fillId="0" borderId="38" xfId="2" applyNumberFormat="1" applyFont="1" applyFill="1" applyBorder="1" applyAlignment="1" applyProtection="1">
      <alignment horizontal="center" vertical="center"/>
      <protection locked="0"/>
    </xf>
    <xf numFmtId="2" fontId="54" fillId="0" borderId="44" xfId="2" applyNumberFormat="1" applyFont="1" applyFill="1" applyBorder="1" applyAlignment="1" applyProtection="1">
      <alignment horizontal="center" vertical="center"/>
      <protection locked="0"/>
    </xf>
    <xf numFmtId="0" fontId="40" fillId="3" borderId="3" xfId="0" applyFont="1" applyFill="1" applyBorder="1" applyAlignment="1" applyProtection="1">
      <alignment horizontal="left" vertical="center"/>
      <protection locked="0"/>
    </xf>
    <xf numFmtId="0" fontId="35" fillId="3" borderId="2" xfId="0" applyFont="1" applyFill="1" applyBorder="1" applyAlignment="1" applyProtection="1">
      <alignment horizontal="center" vertical="center"/>
      <protection locked="0"/>
    </xf>
    <xf numFmtId="12" fontId="40" fillId="3" borderId="2" xfId="0" applyNumberFormat="1" applyFont="1" applyFill="1" applyBorder="1" applyAlignment="1" applyProtection="1">
      <alignment horizontal="center" vertical="center"/>
      <protection locked="0"/>
    </xf>
    <xf numFmtId="0" fontId="40" fillId="3" borderId="2" xfId="0" applyFont="1" applyFill="1" applyBorder="1" applyAlignment="1" applyProtection="1">
      <alignment horizontal="center" vertical="center"/>
      <protection locked="0"/>
    </xf>
    <xf numFmtId="0" fontId="18" fillId="3" borderId="2" xfId="0" applyFont="1" applyFill="1" applyBorder="1" applyAlignment="1" applyProtection="1">
      <alignment horizontal="center" vertical="center"/>
      <protection locked="0"/>
    </xf>
    <xf numFmtId="0" fontId="35" fillId="3" borderId="2" xfId="0" applyFont="1" applyFill="1" applyBorder="1" applyAlignment="1" applyProtection="1">
      <alignment horizontal="center" vertical="center"/>
      <protection locked="0"/>
    </xf>
    <xf numFmtId="0" fontId="18" fillId="3" borderId="2" xfId="0" applyFont="1" applyFill="1" applyBorder="1" applyAlignment="1" applyProtection="1">
      <alignment horizontal="center" vertical="center"/>
      <protection locked="0"/>
    </xf>
    <xf numFmtId="0" fontId="35" fillId="3" borderId="2" xfId="0" applyFont="1" applyFill="1" applyBorder="1" applyAlignment="1" applyProtection="1">
      <alignment horizontal="center" vertical="center"/>
      <protection locked="0"/>
    </xf>
    <xf numFmtId="0" fontId="40" fillId="3" borderId="5" xfId="0" applyFont="1" applyFill="1" applyBorder="1" applyAlignment="1" applyProtection="1">
      <alignment horizontal="center" vertical="center"/>
      <protection locked="0"/>
    </xf>
    <xf numFmtId="0" fontId="35" fillId="3" borderId="2" xfId="0" applyFont="1" applyFill="1" applyBorder="1" applyAlignment="1" applyProtection="1">
      <alignment horizontal="center" vertical="center"/>
      <protection locked="0"/>
    </xf>
    <xf numFmtId="0" fontId="54" fillId="3" borderId="32" xfId="2" applyFont="1" applyFill="1" applyBorder="1" applyAlignment="1" applyProtection="1">
      <alignment horizontal="center" vertical="center"/>
      <protection locked="0"/>
    </xf>
    <xf numFmtId="2" fontId="48" fillId="3" borderId="4" xfId="0" applyNumberFormat="1" applyFont="1" applyFill="1" applyBorder="1" applyAlignment="1" applyProtection="1">
      <alignment horizontal="center" vertical="center"/>
      <protection locked="0"/>
    </xf>
    <xf numFmtId="2" fontId="48" fillId="3" borderId="5" xfId="0" applyNumberFormat="1" applyFont="1" applyFill="1" applyBorder="1" applyAlignment="1" applyProtection="1">
      <alignment horizontal="center" vertical="center"/>
      <protection locked="0"/>
    </xf>
    <xf numFmtId="2" fontId="48" fillId="3" borderId="3" xfId="0" applyNumberFormat="1" applyFont="1" applyFill="1" applyBorder="1" applyAlignment="1" applyProtection="1">
      <alignment horizontal="center" vertical="center"/>
      <protection locked="0"/>
    </xf>
    <xf numFmtId="2" fontId="48" fillId="3" borderId="2" xfId="0" applyNumberFormat="1" applyFont="1" applyFill="1" applyBorder="1" applyAlignment="1" applyProtection="1">
      <alignment horizontal="center" vertical="center"/>
      <protection locked="0"/>
    </xf>
    <xf numFmtId="2" fontId="53" fillId="3" borderId="2" xfId="2" applyNumberFormat="1" applyFont="1" applyFill="1" applyBorder="1" applyAlignment="1" applyProtection="1">
      <alignment horizontal="center" vertical="center"/>
      <protection locked="0"/>
    </xf>
    <xf numFmtId="2" fontId="48" fillId="3" borderId="21" xfId="0" applyNumberFormat="1" applyFont="1" applyFill="1" applyBorder="1" applyAlignment="1" applyProtection="1">
      <alignment horizontal="center" vertical="center"/>
      <protection locked="0"/>
    </xf>
    <xf numFmtId="2" fontId="48" fillId="3" borderId="23" xfId="0" applyNumberFormat="1" applyFont="1" applyFill="1" applyBorder="1" applyAlignment="1" applyProtection="1">
      <alignment horizontal="center" vertical="center"/>
      <protection locked="0"/>
    </xf>
    <xf numFmtId="2" fontId="53" fillId="3" borderId="23" xfId="2" applyNumberFormat="1" applyFont="1" applyFill="1" applyBorder="1" applyAlignment="1" applyProtection="1">
      <alignment horizontal="center" vertical="center"/>
      <protection locked="0"/>
    </xf>
    <xf numFmtId="0" fontId="35" fillId="3" borderId="2" xfId="0" applyFont="1" applyFill="1" applyBorder="1" applyAlignment="1" applyProtection="1">
      <alignment horizontal="center" vertical="center"/>
      <protection locked="0"/>
    </xf>
    <xf numFmtId="0" fontId="18" fillId="3" borderId="2" xfId="0" applyFont="1" applyFill="1" applyBorder="1" applyAlignment="1" applyProtection="1">
      <alignment horizontal="center" vertical="center"/>
      <protection locked="0"/>
    </xf>
    <xf numFmtId="0" fontId="18" fillId="3" borderId="2" xfId="0" applyFont="1" applyFill="1" applyBorder="1" applyAlignment="1" applyProtection="1">
      <alignment horizontal="center" vertical="center"/>
      <protection locked="0"/>
    </xf>
    <xf numFmtId="0" fontId="35" fillId="3" borderId="2" xfId="0" applyFont="1" applyFill="1" applyBorder="1" applyAlignment="1" applyProtection="1">
      <alignment horizontal="center" vertical="center"/>
      <protection locked="0"/>
    </xf>
    <xf numFmtId="0" fontId="35" fillId="3" borderId="2" xfId="0" applyFont="1" applyFill="1" applyBorder="1" applyAlignment="1" applyProtection="1">
      <alignment horizontal="center" vertical="center"/>
      <protection locked="0"/>
    </xf>
    <xf numFmtId="0" fontId="35" fillId="3" borderId="2" xfId="0" applyFont="1" applyFill="1" applyBorder="1" applyAlignment="1" applyProtection="1">
      <alignment horizontal="center" vertical="center"/>
      <protection locked="0"/>
    </xf>
    <xf numFmtId="0" fontId="40" fillId="3" borderId="3" xfId="0" applyFont="1" applyFill="1" applyBorder="1" applyAlignment="1" applyProtection="1">
      <alignment horizontal="center" vertical="center"/>
      <protection locked="0"/>
    </xf>
    <xf numFmtId="2" fontId="40" fillId="3" borderId="2" xfId="0" applyNumberFormat="1" applyFont="1" applyFill="1" applyBorder="1" applyAlignment="1" applyProtection="1">
      <alignment horizontal="center" vertical="center"/>
      <protection locked="0"/>
    </xf>
    <xf numFmtId="12" fontId="40" fillId="3" borderId="2" xfId="0" applyNumberFormat="1" applyFont="1" applyFill="1" applyBorder="1" applyAlignment="1" applyProtection="1">
      <alignment horizontal="center" vertical="center"/>
      <protection locked="0"/>
    </xf>
    <xf numFmtId="0" fontId="40" fillId="3" borderId="2" xfId="0" applyFont="1" applyFill="1" applyBorder="1" applyAlignment="1" applyProtection="1">
      <alignment horizontal="center" vertical="center"/>
      <protection locked="0"/>
    </xf>
    <xf numFmtId="0" fontId="18" fillId="3" borderId="2" xfId="0" applyFont="1" applyFill="1" applyBorder="1" applyAlignment="1" applyProtection="1">
      <alignment horizontal="center" vertical="center"/>
      <protection locked="0"/>
    </xf>
    <xf numFmtId="0" fontId="35" fillId="3" borderId="2" xfId="0" applyFont="1" applyFill="1" applyBorder="1" applyAlignment="1" applyProtection="1">
      <alignment horizontal="center" vertical="center"/>
      <protection locked="0"/>
    </xf>
    <xf numFmtId="0" fontId="35" fillId="3" borderId="2" xfId="0" applyFont="1" applyFill="1" applyBorder="1" applyAlignment="1" applyProtection="1">
      <alignment horizontal="center" vertical="center"/>
      <protection locked="0"/>
    </xf>
    <xf numFmtId="0" fontId="18" fillId="3" borderId="2" xfId="0" applyFont="1" applyFill="1" applyBorder="1" applyAlignment="1" applyProtection="1">
      <alignment horizontal="center" vertical="center"/>
      <protection locked="0"/>
    </xf>
    <xf numFmtId="12" fontId="40" fillId="3" borderId="2" xfId="0" applyNumberFormat="1" applyFont="1" applyFill="1" applyBorder="1" applyAlignment="1" applyProtection="1">
      <alignment horizontal="center" vertical="center"/>
      <protection locked="0"/>
    </xf>
    <xf numFmtId="49" fontId="40" fillId="3" borderId="2" xfId="0" applyNumberFormat="1" applyFont="1" applyFill="1" applyBorder="1" applyAlignment="1" applyProtection="1">
      <alignment horizontal="center" vertical="center"/>
      <protection locked="0"/>
    </xf>
    <xf numFmtId="0" fontId="55" fillId="3" borderId="3" xfId="0" applyFont="1" applyFill="1" applyBorder="1" applyAlignment="1" applyProtection="1">
      <alignment horizontal="center" vertical="center"/>
      <protection locked="0"/>
    </xf>
    <xf numFmtId="12" fontId="55" fillId="3" borderId="2" xfId="0" applyNumberFormat="1" applyFont="1" applyFill="1" applyBorder="1" applyAlignment="1" applyProtection="1">
      <alignment horizontal="center" vertical="center"/>
      <protection locked="0"/>
    </xf>
    <xf numFmtId="0" fontId="55" fillId="3" borderId="2" xfId="0" applyFont="1" applyFill="1" applyBorder="1" applyAlignment="1" applyProtection="1">
      <alignment horizontal="center" vertical="center"/>
      <protection locked="0"/>
    </xf>
    <xf numFmtId="2" fontId="55" fillId="3" borderId="2" xfId="0" applyNumberFormat="1" applyFont="1" applyFill="1" applyBorder="1" applyAlignment="1" applyProtection="1">
      <alignment horizontal="center" vertical="center"/>
      <protection locked="0"/>
    </xf>
    <xf numFmtId="0" fontId="54" fillId="3" borderId="6" xfId="2" applyFont="1" applyFill="1" applyBorder="1" applyAlignment="1" applyProtection="1">
      <alignment horizontal="center" vertical="center"/>
      <protection locked="0"/>
    </xf>
    <xf numFmtId="0" fontId="54" fillId="3" borderId="7" xfId="2" applyFont="1" applyFill="1" applyBorder="1" applyAlignment="1" applyProtection="1">
      <alignment horizontal="center" vertical="center"/>
      <protection locked="0"/>
    </xf>
    <xf numFmtId="0" fontId="54" fillId="3" borderId="30" xfId="2" applyFont="1" applyFill="1" applyBorder="1" applyAlignment="1" applyProtection="1">
      <alignment horizontal="center" vertical="center"/>
      <protection locked="0"/>
    </xf>
    <xf numFmtId="0" fontId="54" fillId="3" borderId="56" xfId="2" applyFont="1" applyFill="1" applyBorder="1" applyAlignment="1" applyProtection="1">
      <alignment horizontal="center" vertical="center"/>
      <protection locked="0"/>
    </xf>
    <xf numFmtId="0" fontId="54" fillId="3" borderId="61" xfId="2" applyFont="1" applyFill="1" applyBorder="1" applyAlignment="1" applyProtection="1">
      <alignment horizontal="center" vertical="center"/>
      <protection locked="0"/>
    </xf>
    <xf numFmtId="0" fontId="54" fillId="3" borderId="2" xfId="2" applyFont="1" applyFill="1" applyBorder="1" applyAlignment="1" applyProtection="1">
      <alignment horizontal="center" vertical="center"/>
      <protection locked="0"/>
    </xf>
    <xf numFmtId="0" fontId="44" fillId="0" borderId="2" xfId="2" applyFont="1" applyFill="1" applyBorder="1" applyAlignment="1" applyProtection="1">
      <alignment horizontal="center" vertical="center"/>
      <protection locked="0"/>
    </xf>
    <xf numFmtId="0" fontId="44" fillId="0" borderId="32" xfId="2" applyFont="1" applyFill="1" applyBorder="1" applyAlignment="1" applyProtection="1">
      <alignment horizontal="left" vertical="center"/>
      <protection locked="0"/>
    </xf>
    <xf numFmtId="0" fontId="55" fillId="3" borderId="2" xfId="2" applyFont="1" applyFill="1" applyBorder="1" applyAlignment="1" applyProtection="1">
      <alignment horizontal="center" vertical="center"/>
      <protection locked="0"/>
    </xf>
    <xf numFmtId="0" fontId="55" fillId="3" borderId="32" xfId="2" applyFont="1" applyFill="1" applyBorder="1" applyAlignment="1" applyProtection="1">
      <alignment horizontal="center" vertical="center"/>
      <protection locked="0"/>
    </xf>
    <xf numFmtId="1" fontId="55" fillId="3" borderId="2" xfId="0" applyNumberFormat="1" applyFont="1" applyFill="1" applyBorder="1" applyAlignment="1" applyProtection="1">
      <alignment horizontal="center" vertical="center"/>
      <protection locked="0"/>
    </xf>
    <xf numFmtId="165" fontId="55" fillId="3" borderId="2" xfId="0" applyNumberFormat="1" applyFont="1" applyFill="1" applyBorder="1" applyAlignment="1" applyProtection="1">
      <alignment horizontal="center" vertical="center"/>
      <protection locked="0"/>
    </xf>
    <xf numFmtId="165" fontId="55" fillId="3" borderId="32" xfId="0" applyNumberFormat="1" applyFont="1" applyFill="1" applyBorder="1" applyAlignment="1" applyProtection="1">
      <alignment horizontal="center" vertical="center"/>
      <protection locked="0"/>
    </xf>
    <xf numFmtId="49" fontId="55" fillId="3" borderId="2" xfId="0" applyNumberFormat="1" applyFont="1" applyFill="1" applyBorder="1" applyAlignment="1" applyProtection="1">
      <alignment horizontal="center" vertical="center"/>
      <protection locked="0"/>
    </xf>
    <xf numFmtId="49" fontId="55" fillId="3" borderId="32" xfId="0" applyNumberFormat="1" applyFont="1" applyFill="1" applyBorder="1" applyAlignment="1" applyProtection="1">
      <alignment horizontal="center" vertical="center"/>
      <protection locked="0"/>
    </xf>
    <xf numFmtId="165" fontId="55" fillId="3" borderId="5" xfId="0" applyNumberFormat="1" applyFont="1" applyFill="1" applyBorder="1" applyAlignment="1" applyProtection="1">
      <alignment horizontal="center" vertical="center"/>
      <protection locked="0"/>
    </xf>
    <xf numFmtId="165" fontId="55" fillId="3" borderId="38" xfId="0" applyNumberFormat="1" applyFont="1" applyFill="1" applyBorder="1" applyAlignment="1" applyProtection="1">
      <alignment horizontal="center" vertical="center"/>
      <protection locked="0"/>
    </xf>
    <xf numFmtId="0" fontId="55" fillId="3" borderId="3" xfId="0" applyFont="1" applyFill="1" applyBorder="1" applyAlignment="1" applyProtection="1">
      <alignment horizontal="left" vertical="center"/>
      <protection locked="0"/>
    </xf>
    <xf numFmtId="168" fontId="55" fillId="3" borderId="32" xfId="0" applyNumberFormat="1" applyFont="1" applyFill="1" applyBorder="1" applyAlignment="1" applyProtection="1">
      <alignment horizontal="center" vertical="center"/>
      <protection locked="0"/>
    </xf>
    <xf numFmtId="0" fontId="55" fillId="3" borderId="3" xfId="0" applyFont="1" applyFill="1" applyBorder="1" applyAlignment="1" applyProtection="1">
      <alignment vertical="center" wrapText="1"/>
      <protection locked="0"/>
    </xf>
    <xf numFmtId="49" fontId="55" fillId="3" borderId="14" xfId="2" quotePrefix="1" applyNumberFormat="1" applyFont="1" applyFill="1" applyBorder="1" applyAlignment="1" applyProtection="1">
      <alignment horizontal="center" vertical="center"/>
      <protection locked="0"/>
    </xf>
    <xf numFmtId="0" fontId="54" fillId="3" borderId="2" xfId="0" applyNumberFormat="1" applyFont="1" applyFill="1" applyBorder="1" applyAlignment="1" applyProtection="1">
      <alignment horizontal="center" vertical="center"/>
      <protection locked="0"/>
    </xf>
    <xf numFmtId="0" fontId="55" fillId="3" borderId="2" xfId="0" applyNumberFormat="1" applyFont="1" applyFill="1" applyBorder="1" applyAlignment="1" applyProtection="1">
      <alignment horizontal="center" vertical="center"/>
      <protection locked="0"/>
    </xf>
    <xf numFmtId="49" fontId="55" fillId="3" borderId="14" xfId="0" applyNumberFormat="1" applyFont="1" applyFill="1" applyBorder="1" applyAlignment="1" applyProtection="1">
      <alignment horizontal="center" vertical="center"/>
      <protection locked="0"/>
    </xf>
    <xf numFmtId="167" fontId="55" fillId="3" borderId="14" xfId="0" applyNumberFormat="1" applyFont="1" applyFill="1" applyBorder="1" applyAlignment="1" applyProtection="1">
      <alignment horizontal="center" vertical="center"/>
      <protection locked="0"/>
    </xf>
    <xf numFmtId="1" fontId="55" fillId="3" borderId="44" xfId="0" applyNumberFormat="1" applyFont="1" applyFill="1" applyBorder="1" applyAlignment="1" applyProtection="1">
      <alignment horizontal="center" vertical="center"/>
      <protection locked="0"/>
    </xf>
    <xf numFmtId="0" fontId="54" fillId="0" borderId="32" xfId="2" applyFont="1" applyFill="1" applyBorder="1" applyAlignment="1" applyProtection="1">
      <alignment horizontal="center" vertical="center"/>
      <protection locked="0"/>
    </xf>
    <xf numFmtId="0" fontId="55" fillId="0" borderId="32" xfId="2" applyFont="1" applyFill="1" applyBorder="1" applyAlignment="1" applyProtection="1">
      <alignment horizontal="center" vertical="center"/>
      <protection locked="0"/>
    </xf>
    <xf numFmtId="49" fontId="58" fillId="3" borderId="2" xfId="0" applyNumberFormat="1" applyFont="1" applyFill="1" applyBorder="1" applyAlignment="1" applyProtection="1">
      <alignment horizontal="center" vertical="center"/>
      <protection locked="0"/>
    </xf>
    <xf numFmtId="0" fontId="58" fillId="3" borderId="2" xfId="0" applyFont="1" applyFill="1" applyBorder="1" applyAlignment="1" applyProtection="1">
      <alignment horizontal="center" vertical="center"/>
      <protection locked="0"/>
    </xf>
    <xf numFmtId="0" fontId="58" fillId="3" borderId="32" xfId="0" applyFont="1" applyFill="1" applyBorder="1" applyAlignment="1" applyProtection="1">
      <alignment horizontal="center" vertical="center"/>
      <protection locked="0"/>
    </xf>
    <xf numFmtId="49" fontId="58" fillId="3" borderId="2" xfId="0" quotePrefix="1" applyNumberFormat="1" applyFont="1" applyFill="1" applyBorder="1" applyAlignment="1" applyProtection="1">
      <alignment horizontal="center" vertical="center"/>
      <protection locked="0"/>
    </xf>
    <xf numFmtId="49" fontId="55" fillId="3" borderId="38" xfId="0" applyNumberFormat="1" applyFont="1" applyFill="1" applyBorder="1" applyAlignment="1" applyProtection="1">
      <alignment horizontal="center" vertical="center"/>
      <protection locked="0"/>
    </xf>
    <xf numFmtId="1" fontId="58" fillId="3" borderId="2" xfId="0" quotePrefix="1" applyNumberFormat="1" applyFont="1" applyFill="1" applyBorder="1" applyAlignment="1" applyProtection="1">
      <alignment horizontal="center" vertical="center"/>
      <protection locked="0"/>
    </xf>
    <xf numFmtId="0" fontId="55" fillId="3" borderId="21" xfId="2" applyFont="1" applyFill="1" applyBorder="1" applyAlignment="1" applyProtection="1">
      <alignment horizontal="center" vertical="center"/>
      <protection locked="0"/>
    </xf>
    <xf numFmtId="0" fontId="55" fillId="3" borderId="23" xfId="2" applyFont="1" applyFill="1" applyBorder="1" applyAlignment="1" applyProtection="1">
      <alignment horizontal="center" vertical="center"/>
      <protection locked="0"/>
    </xf>
    <xf numFmtId="0" fontId="55" fillId="3" borderId="41" xfId="2" applyFont="1" applyFill="1" applyBorder="1" applyAlignment="1" applyProtection="1">
      <alignment horizontal="center" vertical="center"/>
      <protection locked="0"/>
    </xf>
    <xf numFmtId="2" fontId="22" fillId="3" borderId="3" xfId="0" applyNumberFormat="1" applyFont="1" applyFill="1" applyBorder="1" applyAlignment="1" applyProtection="1">
      <alignment horizontal="center" vertical="center"/>
      <protection locked="0"/>
    </xf>
    <xf numFmtId="2" fontId="22" fillId="3" borderId="2" xfId="0" applyNumberFormat="1" applyFont="1" applyFill="1" applyBorder="1" applyAlignment="1" applyProtection="1">
      <alignment horizontal="center" vertical="center"/>
      <protection locked="0"/>
    </xf>
    <xf numFmtId="2" fontId="58" fillId="3" borderId="2" xfId="2" applyNumberFormat="1" applyFont="1" applyFill="1" applyBorder="1" applyAlignment="1" applyProtection="1">
      <alignment horizontal="center" vertical="center"/>
      <protection locked="0"/>
    </xf>
    <xf numFmtId="2" fontId="22" fillId="3" borderId="21" xfId="0" applyNumberFormat="1" applyFont="1" applyFill="1" applyBorder="1" applyAlignment="1" applyProtection="1">
      <alignment horizontal="center" vertical="center"/>
      <protection locked="0"/>
    </xf>
    <xf numFmtId="2" fontId="22" fillId="3" borderId="23" xfId="0" applyNumberFormat="1" applyFont="1" applyFill="1" applyBorder="1" applyAlignment="1" applyProtection="1">
      <alignment horizontal="center" vertical="center"/>
      <protection locked="0"/>
    </xf>
    <xf numFmtId="2" fontId="58" fillId="3" borderId="23" xfId="2" applyNumberFormat="1" applyFont="1" applyFill="1" applyBorder="1" applyAlignment="1" applyProtection="1">
      <alignment horizontal="center" vertical="center"/>
      <protection locked="0"/>
    </xf>
    <xf numFmtId="166" fontId="54" fillId="0" borderId="32" xfId="0" quotePrefix="1" applyNumberFormat="1" applyFont="1" applyFill="1" applyBorder="1" applyAlignment="1" applyProtection="1">
      <alignment horizontal="left" vertical="center"/>
      <protection locked="0"/>
    </xf>
    <xf numFmtId="20" fontId="54" fillId="0" borderId="32" xfId="0" applyNumberFormat="1" applyFont="1" applyFill="1" applyBorder="1" applyAlignment="1" applyProtection="1">
      <alignment horizontal="left" vertical="center"/>
      <protection locked="0"/>
    </xf>
    <xf numFmtId="0" fontId="54" fillId="3" borderId="2" xfId="2" applyFont="1" applyFill="1" applyBorder="1" applyAlignment="1" applyProtection="1">
      <alignment vertical="center"/>
      <protection locked="0"/>
    </xf>
    <xf numFmtId="0" fontId="54" fillId="3" borderId="2" xfId="2" applyNumberFormat="1" applyFont="1" applyFill="1" applyBorder="1" applyAlignment="1" applyProtection="1">
      <alignment horizontal="center" vertical="center"/>
      <protection locked="0"/>
    </xf>
    <xf numFmtId="168" fontId="54" fillId="3" borderId="32" xfId="7" applyFont="1" applyFill="1" applyBorder="1" applyAlignment="1" applyProtection="1">
      <alignment horizontal="center" vertical="center"/>
      <protection locked="0"/>
    </xf>
    <xf numFmtId="0" fontId="54" fillId="3" borderId="32" xfId="0" applyFont="1" applyFill="1" applyBorder="1" applyAlignment="1" applyProtection="1">
      <alignment horizontal="center" vertical="center"/>
      <protection locked="0"/>
    </xf>
    <xf numFmtId="1" fontId="54" fillId="3" borderId="2" xfId="2" applyNumberFormat="1" applyFont="1" applyFill="1" applyBorder="1" applyAlignment="1" applyProtection="1">
      <alignment horizontal="center" vertical="center"/>
      <protection locked="0"/>
    </xf>
    <xf numFmtId="49" fontId="54" fillId="3" borderId="32" xfId="0" quotePrefix="1" applyNumberFormat="1" applyFont="1" applyFill="1" applyBorder="1" applyAlignment="1" applyProtection="1">
      <alignment horizontal="center" vertical="center"/>
      <protection locked="0"/>
    </xf>
    <xf numFmtId="0" fontId="54" fillId="3" borderId="32" xfId="2" applyFont="1" applyFill="1" applyBorder="1" applyProtection="1">
      <protection locked="0"/>
    </xf>
    <xf numFmtId="0" fontId="54" fillId="3" borderId="32" xfId="0" applyNumberFormat="1" applyFont="1" applyFill="1" applyBorder="1" applyAlignment="1" applyProtection="1">
      <alignment horizontal="center" vertical="center"/>
      <protection locked="0"/>
    </xf>
    <xf numFmtId="2" fontId="54" fillId="3" borderId="32" xfId="0" applyNumberFormat="1" applyFont="1" applyFill="1" applyBorder="1" applyAlignment="1" applyProtection="1">
      <alignment horizontal="center" vertical="center"/>
      <protection locked="0"/>
    </xf>
    <xf numFmtId="0" fontId="54" fillId="3" borderId="32" xfId="2" applyFont="1" applyFill="1" applyBorder="1" applyAlignment="1" applyProtection="1">
      <alignment horizontal="center"/>
      <protection locked="0"/>
    </xf>
    <xf numFmtId="3" fontId="54" fillId="3" borderId="32" xfId="0" applyNumberFormat="1" applyFont="1" applyFill="1" applyBorder="1" applyAlignment="1" applyProtection="1">
      <alignment horizontal="center" vertical="center"/>
      <protection locked="0"/>
    </xf>
    <xf numFmtId="1" fontId="54" fillId="3" borderId="32" xfId="0" applyNumberFormat="1" applyFont="1" applyFill="1" applyBorder="1" applyAlignment="1" applyProtection="1">
      <alignment horizontal="center" vertical="center"/>
      <protection locked="0"/>
    </xf>
    <xf numFmtId="0" fontId="54" fillId="3" borderId="2" xfId="0" quotePrefix="1" applyNumberFormat="1" applyFont="1" applyFill="1" applyBorder="1" applyAlignment="1" applyProtection="1">
      <alignment horizontal="center" vertical="center"/>
      <protection locked="0"/>
    </xf>
    <xf numFmtId="0" fontId="54" fillId="3" borderId="32" xfId="0" quotePrefix="1" applyNumberFormat="1" applyFont="1" applyFill="1" applyBorder="1" applyAlignment="1" applyProtection="1">
      <alignment horizontal="center" vertical="center"/>
      <protection locked="0"/>
    </xf>
    <xf numFmtId="0" fontId="54" fillId="3" borderId="2" xfId="2" applyFont="1" applyFill="1" applyBorder="1" applyProtection="1">
      <protection locked="0"/>
    </xf>
    <xf numFmtId="0" fontId="54" fillId="0" borderId="32" xfId="2" applyFont="1" applyFill="1" applyBorder="1" applyProtection="1">
      <protection locked="0"/>
    </xf>
    <xf numFmtId="0" fontId="54" fillId="0" borderId="32" xfId="2" applyFont="1" applyFill="1" applyBorder="1" applyAlignment="1" applyProtection="1">
      <alignment vertical="center"/>
      <protection locked="0"/>
    </xf>
    <xf numFmtId="0" fontId="54" fillId="3" borderId="32" xfId="2" applyFont="1" applyFill="1" applyBorder="1" applyAlignment="1" applyProtection="1">
      <alignment vertical="center"/>
      <protection locked="0"/>
    </xf>
    <xf numFmtId="0" fontId="54" fillId="3" borderId="5" xfId="2" applyFont="1" applyFill="1" applyBorder="1" applyAlignment="1" applyProtection="1">
      <alignment vertical="center"/>
      <protection locked="0"/>
    </xf>
    <xf numFmtId="0" fontId="54" fillId="3" borderId="38" xfId="2" applyFont="1" applyFill="1" applyBorder="1" applyAlignment="1" applyProtection="1">
      <alignment vertical="center"/>
      <protection locked="0"/>
    </xf>
    <xf numFmtId="49" fontId="55" fillId="2" borderId="2" xfId="0" quotePrefix="1" applyNumberFormat="1" applyFont="1" applyFill="1" applyBorder="1" applyAlignment="1" applyProtection="1">
      <alignment horizontal="center" vertical="center"/>
      <protection locked="0"/>
    </xf>
    <xf numFmtId="0" fontId="54" fillId="3" borderId="39" xfId="2" applyFont="1" applyFill="1" applyBorder="1" applyAlignment="1" applyProtection="1">
      <alignment vertical="center"/>
      <protection locked="0"/>
    </xf>
    <xf numFmtId="0" fontId="54" fillId="0" borderId="40" xfId="2" applyFont="1" applyFill="1" applyBorder="1" applyAlignment="1" applyProtection="1">
      <alignment vertical="center"/>
      <protection locked="0"/>
    </xf>
    <xf numFmtId="49" fontId="54" fillId="3" borderId="5" xfId="0" applyNumberFormat="1" applyFont="1" applyFill="1" applyBorder="1" applyAlignment="1" applyProtection="1">
      <alignment horizontal="center" vertical="center"/>
      <protection locked="0"/>
    </xf>
    <xf numFmtId="0" fontId="54" fillId="3" borderId="38" xfId="0" applyFont="1" applyFill="1" applyBorder="1" applyAlignment="1" applyProtection="1">
      <alignment horizontal="center" vertical="center"/>
      <protection locked="0"/>
    </xf>
    <xf numFmtId="0" fontId="55" fillId="0" borderId="3" xfId="2" applyFont="1" applyFill="1" applyBorder="1" applyProtection="1">
      <protection locked="0"/>
    </xf>
    <xf numFmtId="0" fontId="55" fillId="0" borderId="32" xfId="2" applyFont="1" applyFill="1" applyBorder="1" applyProtection="1">
      <protection locked="0"/>
    </xf>
    <xf numFmtId="0" fontId="55" fillId="0" borderId="4" xfId="2" applyFont="1" applyFill="1" applyBorder="1" applyProtection="1">
      <protection locked="0"/>
    </xf>
    <xf numFmtId="0" fontId="55" fillId="0" borderId="38" xfId="2" applyFont="1" applyFill="1" applyBorder="1" applyProtection="1">
      <protection locked="0"/>
    </xf>
    <xf numFmtId="0" fontId="55" fillId="10" borderId="2" xfId="2" applyFont="1" applyFill="1" applyBorder="1" applyAlignment="1" applyProtection="1">
      <alignment horizontal="center" vertical="center"/>
      <protection locked="0"/>
    </xf>
    <xf numFmtId="0" fontId="55" fillId="3" borderId="2" xfId="2" applyFont="1" applyFill="1" applyBorder="1" applyAlignment="1" applyProtection="1">
      <alignment horizontal="center" vertical="center"/>
      <protection locked="0"/>
    </xf>
    <xf numFmtId="49" fontId="55" fillId="3" borderId="2" xfId="0" applyNumberFormat="1" applyFont="1" applyFill="1" applyBorder="1" applyAlignment="1" applyProtection="1">
      <alignment horizontal="center" vertical="center"/>
      <protection locked="0"/>
    </xf>
    <xf numFmtId="0" fontId="55" fillId="0" borderId="2" xfId="2" applyFont="1" applyFill="1" applyBorder="1" applyAlignment="1" applyProtection="1">
      <alignment horizontal="center" vertical="center"/>
      <protection locked="0"/>
    </xf>
    <xf numFmtId="0" fontId="55" fillId="3" borderId="3" xfId="2" applyFont="1" applyFill="1" applyBorder="1" applyAlignment="1" applyProtection="1">
      <alignment vertical="center"/>
      <protection locked="0"/>
    </xf>
    <xf numFmtId="0" fontId="55" fillId="3" borderId="2" xfId="2" applyFont="1" applyFill="1" applyBorder="1" applyAlignment="1" applyProtection="1">
      <alignment vertical="center"/>
      <protection locked="0"/>
    </xf>
    <xf numFmtId="0" fontId="55" fillId="3" borderId="4" xfId="2" applyFont="1" applyFill="1" applyBorder="1" applyAlignment="1" applyProtection="1">
      <alignment vertical="center"/>
      <protection locked="0"/>
    </xf>
    <xf numFmtId="0" fontId="55" fillId="0" borderId="32" xfId="2" applyFont="1" applyFill="1" applyBorder="1" applyAlignment="1" applyProtection="1">
      <alignment horizontal="center" vertical="center"/>
      <protection locked="0"/>
    </xf>
    <xf numFmtId="0" fontId="55" fillId="3" borderId="2" xfId="0" applyFont="1" applyFill="1" applyBorder="1" applyAlignment="1" applyProtection="1">
      <alignment horizontal="center" vertical="center"/>
      <protection locked="0"/>
    </xf>
    <xf numFmtId="49" fontId="55" fillId="3" borderId="2" xfId="0" quotePrefix="1" applyNumberFormat="1" applyFont="1" applyFill="1" applyBorder="1" applyAlignment="1" applyProtection="1">
      <alignment horizontal="center" vertical="center"/>
      <protection locked="0"/>
    </xf>
    <xf numFmtId="0" fontId="44" fillId="2" borderId="7" xfId="2" applyFont="1" applyFill="1" applyBorder="1" applyAlignment="1" applyProtection="1">
      <alignment horizontal="center" vertical="center"/>
    </xf>
    <xf numFmtId="0" fontId="44" fillId="2" borderId="7" xfId="2" applyNumberFormat="1" applyFont="1" applyFill="1" applyBorder="1" applyAlignment="1" applyProtection="1">
      <alignment horizontal="center" vertical="center"/>
    </xf>
    <xf numFmtId="0" fontId="44" fillId="2" borderId="30" xfId="2" applyNumberFormat="1" applyFont="1" applyFill="1" applyBorder="1" applyAlignment="1" applyProtection="1">
      <alignment horizontal="center" vertical="center"/>
    </xf>
    <xf numFmtId="0" fontId="44" fillId="2" borderId="5" xfId="2" applyFont="1" applyFill="1" applyBorder="1" applyAlignment="1" applyProtection="1">
      <alignment horizontal="center" vertical="center"/>
    </xf>
    <xf numFmtId="1" fontId="44" fillId="2" borderId="5" xfId="2" applyNumberFormat="1" applyFont="1" applyFill="1" applyBorder="1" applyAlignment="1" applyProtection="1">
      <alignment horizontal="center" vertical="center"/>
    </xf>
    <xf numFmtId="1" fontId="44" fillId="2" borderId="38" xfId="2" applyNumberFormat="1" applyFont="1" applyFill="1" applyBorder="1" applyAlignment="1" applyProtection="1">
      <alignment horizontal="center" vertical="center"/>
    </xf>
    <xf numFmtId="166" fontId="55" fillId="3" borderId="2" xfId="0" quotePrefix="1" applyNumberFormat="1" applyFont="1" applyFill="1" applyBorder="1" applyAlignment="1" applyProtection="1">
      <alignment horizontal="center" vertical="center"/>
      <protection locked="0"/>
    </xf>
    <xf numFmtId="20" fontId="55" fillId="3" borderId="2" xfId="0" applyNumberFormat="1" applyFont="1" applyFill="1" applyBorder="1" applyAlignment="1" applyProtection="1">
      <alignment horizontal="center" vertical="center"/>
      <protection locked="0"/>
    </xf>
    <xf numFmtId="0" fontId="55" fillId="2" borderId="2" xfId="2" applyFont="1" applyFill="1" applyBorder="1" applyAlignment="1" applyProtection="1">
      <alignment horizontal="center" vertical="center"/>
      <protection locked="0"/>
    </xf>
    <xf numFmtId="3" fontId="55" fillId="3" borderId="2" xfId="0" applyNumberFormat="1" applyFont="1" applyFill="1" applyBorder="1" applyAlignment="1" applyProtection="1">
      <alignment horizontal="center" vertical="center"/>
      <protection locked="0"/>
    </xf>
    <xf numFmtId="0" fontId="44" fillId="3" borderId="2" xfId="2" applyFont="1" applyFill="1" applyBorder="1" applyAlignment="1" applyProtection="1">
      <alignment horizontal="center" vertical="center"/>
      <protection locked="0"/>
    </xf>
    <xf numFmtId="49" fontId="55" fillId="3" borderId="14" xfId="2" applyNumberFormat="1" applyFont="1" applyFill="1" applyBorder="1" applyAlignment="1" applyProtection="1">
      <alignment horizontal="center" vertical="center"/>
      <protection locked="0"/>
    </xf>
    <xf numFmtId="0" fontId="44" fillId="3" borderId="5" xfId="2" applyFont="1" applyFill="1" applyBorder="1" applyAlignment="1" applyProtection="1">
      <alignment horizontal="center" vertical="center"/>
      <protection locked="0"/>
    </xf>
    <xf numFmtId="0" fontId="55" fillId="3" borderId="44" xfId="2" applyFont="1" applyFill="1" applyBorder="1" applyAlignment="1" applyProtection="1">
      <protection locked="0"/>
    </xf>
    <xf numFmtId="0" fontId="55" fillId="3" borderId="32" xfId="0" applyFont="1" applyFill="1" applyBorder="1" applyAlignment="1" applyProtection="1">
      <alignment horizontal="center" vertical="center"/>
      <protection locked="0"/>
    </xf>
    <xf numFmtId="0" fontId="55" fillId="3" borderId="2" xfId="2" applyNumberFormat="1" applyFont="1" applyFill="1" applyBorder="1" applyAlignment="1" applyProtection="1">
      <alignment horizontal="center" vertical="center"/>
      <protection locked="0"/>
    </xf>
    <xf numFmtId="168" fontId="55" fillId="3" borderId="32" xfId="7" applyFont="1" applyFill="1" applyBorder="1" applyAlignment="1" applyProtection="1">
      <alignment horizontal="center" vertical="center"/>
      <protection locked="0"/>
    </xf>
    <xf numFmtId="1" fontId="55" fillId="3" borderId="2" xfId="2" applyNumberFormat="1" applyFont="1" applyFill="1" applyBorder="1" applyAlignment="1" applyProtection="1">
      <alignment horizontal="center" vertical="center"/>
      <protection locked="0"/>
    </xf>
    <xf numFmtId="168" fontId="55" fillId="0" borderId="32" xfId="7" applyFont="1" applyFill="1" applyBorder="1" applyAlignment="1" applyProtection="1">
      <alignment horizontal="center" vertical="center"/>
      <protection locked="0"/>
    </xf>
    <xf numFmtId="0" fontId="18" fillId="3" borderId="2" xfId="0" applyFont="1" applyFill="1" applyBorder="1" applyAlignment="1" applyProtection="1">
      <alignment horizontal="center" vertical="center"/>
      <protection locked="0"/>
    </xf>
    <xf numFmtId="0" fontId="18" fillId="0" borderId="5" xfId="0" applyFont="1" applyFill="1" applyBorder="1" applyAlignment="1" applyProtection="1">
      <alignment horizontal="center" vertical="center"/>
      <protection locked="0"/>
    </xf>
    <xf numFmtId="0" fontId="18" fillId="0" borderId="5" xfId="0" applyFont="1" applyBorder="1" applyAlignment="1" applyProtection="1">
      <alignment horizontal="center" vertical="center"/>
      <protection locked="0"/>
    </xf>
    <xf numFmtId="0" fontId="25" fillId="0" borderId="2" xfId="0" applyFont="1" applyFill="1" applyBorder="1" applyAlignment="1" applyProtection="1">
      <alignment horizontal="center" vertical="center" wrapText="1"/>
    </xf>
    <xf numFmtId="0" fontId="25" fillId="0" borderId="2" xfId="0" applyFont="1" applyBorder="1" applyAlignment="1" applyProtection="1">
      <alignment horizontal="center" vertical="center" wrapText="1"/>
    </xf>
    <xf numFmtId="165" fontId="18" fillId="3" borderId="2" xfId="0" applyNumberFormat="1" applyFont="1" applyFill="1" applyBorder="1" applyAlignment="1" applyProtection="1">
      <alignment horizontal="center" vertical="center"/>
      <protection locked="0"/>
    </xf>
    <xf numFmtId="49" fontId="61" fillId="3" borderId="3" xfId="0" applyNumberFormat="1" applyFont="1" applyFill="1" applyBorder="1" applyAlignment="1" applyProtection="1">
      <alignment horizontal="center" vertical="center"/>
      <protection locked="0"/>
    </xf>
    <xf numFmtId="49" fontId="61" fillId="3" borderId="2" xfId="0" applyNumberFormat="1" applyFont="1" applyFill="1" applyBorder="1" applyAlignment="1" applyProtection="1">
      <alignment horizontal="center" vertical="center"/>
      <protection locked="0"/>
    </xf>
    <xf numFmtId="171" fontId="61" fillId="3" borderId="2" xfId="0" applyNumberFormat="1" applyFont="1" applyFill="1" applyBorder="1" applyAlignment="1" applyProtection="1">
      <alignment horizontal="center" vertical="center"/>
      <protection locked="0"/>
    </xf>
    <xf numFmtId="165" fontId="61" fillId="3" borderId="2" xfId="0" applyNumberFormat="1" applyFont="1" applyFill="1" applyBorder="1" applyAlignment="1" applyProtection="1">
      <alignment horizontal="center" vertical="center"/>
      <protection locked="0"/>
    </xf>
    <xf numFmtId="49" fontId="61" fillId="3" borderId="32" xfId="0" applyNumberFormat="1" applyFont="1" applyFill="1" applyBorder="1" applyAlignment="1" applyProtection="1">
      <alignment horizontal="center" vertical="center"/>
      <protection locked="0"/>
    </xf>
    <xf numFmtId="49" fontId="63" fillId="3" borderId="2" xfId="0" applyNumberFormat="1" applyFont="1" applyFill="1" applyBorder="1" applyAlignment="1" applyProtection="1">
      <alignment horizontal="center" vertical="center"/>
      <protection locked="0"/>
    </xf>
    <xf numFmtId="49" fontId="62" fillId="3" borderId="2" xfId="0" applyNumberFormat="1" applyFont="1" applyFill="1" applyBorder="1" applyAlignment="1" applyProtection="1">
      <alignment horizontal="center" vertical="center"/>
      <protection locked="0"/>
    </xf>
    <xf numFmtId="176" fontId="64" fillId="15" borderId="2" xfId="0" applyNumberFormat="1" applyFont="1" applyFill="1" applyBorder="1" applyAlignment="1">
      <alignment horizontal="center" vertical="center"/>
    </xf>
    <xf numFmtId="0" fontId="64" fillId="4" borderId="67" xfId="0" applyFont="1" applyFill="1" applyBorder="1" applyAlignment="1">
      <alignment horizontal="center" vertical="center"/>
    </xf>
    <xf numFmtId="0" fontId="25" fillId="0" borderId="3" xfId="0" applyFont="1" applyBorder="1" applyAlignment="1" applyProtection="1">
      <alignment horizontal="center" vertical="center" wrapText="1"/>
    </xf>
    <xf numFmtId="12" fontId="18" fillId="3" borderId="3" xfId="0" applyNumberFormat="1" applyFont="1" applyFill="1" applyBorder="1" applyAlignment="1" applyProtection="1">
      <alignment horizontal="center" vertical="center"/>
      <protection locked="0"/>
    </xf>
    <xf numFmtId="0" fontId="18" fillId="3" borderId="3" xfId="0" applyFont="1" applyFill="1" applyBorder="1" applyAlignment="1" applyProtection="1">
      <alignment horizontal="center" vertical="center"/>
      <protection locked="0"/>
    </xf>
    <xf numFmtId="0" fontId="18" fillId="0" borderId="4" xfId="0" applyFont="1" applyBorder="1" applyAlignment="1" applyProtection="1">
      <alignment horizontal="center" vertical="center"/>
      <protection locked="0"/>
    </xf>
    <xf numFmtId="49" fontId="54" fillId="2" borderId="7" xfId="0" quotePrefix="1" applyNumberFormat="1" applyFont="1" applyFill="1" applyBorder="1" applyAlignment="1" applyProtection="1">
      <alignment horizontal="center" vertical="center"/>
    </xf>
    <xf numFmtId="49" fontId="54" fillId="2" borderId="30" xfId="0" quotePrefix="1" applyNumberFormat="1" applyFont="1" applyFill="1" applyBorder="1" applyAlignment="1" applyProtection="1">
      <alignment horizontal="center" vertical="center"/>
    </xf>
    <xf numFmtId="0" fontId="46" fillId="0" borderId="5" xfId="0" applyFont="1" applyBorder="1" applyAlignment="1" applyProtection="1">
      <alignment horizontal="left" vertical="center"/>
    </xf>
    <xf numFmtId="0" fontId="55" fillId="3" borderId="2" xfId="2" applyFont="1" applyFill="1" applyBorder="1" applyAlignment="1" applyProtection="1">
      <alignment horizontal="center" vertical="center"/>
      <protection locked="0"/>
    </xf>
    <xf numFmtId="49" fontId="55" fillId="3" borderId="2" xfId="0" quotePrefix="1" applyNumberFormat="1" applyFont="1" applyFill="1" applyBorder="1" applyAlignment="1" applyProtection="1">
      <alignment horizontal="center" vertical="center"/>
      <protection locked="0"/>
    </xf>
    <xf numFmtId="0" fontId="55" fillId="3" borderId="3" xfId="2" applyFont="1" applyFill="1" applyBorder="1" applyAlignment="1" applyProtection="1">
      <alignment horizontal="center" vertical="center"/>
      <protection locked="0"/>
    </xf>
    <xf numFmtId="49" fontId="55" fillId="3" borderId="5" xfId="0" quotePrefix="1" applyNumberFormat="1" applyFont="1" applyFill="1" applyBorder="1" applyAlignment="1" applyProtection="1">
      <alignment horizontal="center" vertical="center"/>
      <protection locked="0"/>
    </xf>
    <xf numFmtId="0" fontId="44" fillId="2" borderId="6" xfId="2" applyFont="1" applyFill="1" applyBorder="1" applyAlignment="1" applyProtection="1">
      <alignment horizontal="center" vertical="center"/>
    </xf>
    <xf numFmtId="0" fontId="55" fillId="3" borderId="4" xfId="2" applyFont="1" applyFill="1" applyBorder="1" applyAlignment="1" applyProtection="1">
      <alignment horizontal="center" vertical="center"/>
      <protection locked="0"/>
    </xf>
    <xf numFmtId="49" fontId="55" fillId="3" borderId="39" xfId="0" quotePrefix="1" applyNumberFormat="1" applyFont="1" applyFill="1" applyBorder="1" applyAlignment="1" applyProtection="1">
      <alignment horizontal="center" vertical="center"/>
      <protection locked="0"/>
    </xf>
    <xf numFmtId="0" fontId="44" fillId="2" borderId="7" xfId="2" applyFont="1" applyFill="1" applyBorder="1" applyAlignment="1" applyProtection="1">
      <alignment vertical="center"/>
    </xf>
    <xf numFmtId="0" fontId="44" fillId="2" borderId="30" xfId="2" applyFont="1" applyFill="1" applyBorder="1" applyAlignment="1" applyProtection="1">
      <alignment vertical="center"/>
    </xf>
    <xf numFmtId="0" fontId="40" fillId="3" borderId="38" xfId="0" applyFont="1" applyFill="1" applyBorder="1" applyAlignment="1" applyProtection="1">
      <alignment horizontal="center" vertical="center"/>
      <protection locked="0"/>
    </xf>
    <xf numFmtId="49" fontId="55" fillId="2" borderId="7" xfId="0" quotePrefix="1" applyNumberFormat="1" applyFont="1" applyFill="1" applyBorder="1" applyAlignment="1" applyProtection="1">
      <alignment horizontal="center" vertical="center"/>
      <protection locked="0"/>
    </xf>
    <xf numFmtId="169" fontId="55" fillId="2" borderId="30" xfId="2" applyNumberFormat="1" applyFont="1" applyFill="1" applyBorder="1" applyAlignment="1" applyProtection="1">
      <alignment horizontal="center" vertical="center"/>
      <protection locked="0"/>
    </xf>
    <xf numFmtId="1" fontId="55" fillId="0" borderId="32" xfId="2" applyNumberFormat="1" applyFont="1" applyFill="1" applyBorder="1" applyAlignment="1" applyProtection="1">
      <alignment horizontal="center" vertical="center"/>
      <protection locked="0"/>
    </xf>
    <xf numFmtId="165" fontId="55" fillId="2" borderId="32" xfId="2" applyNumberFormat="1" applyFont="1" applyFill="1" applyBorder="1" applyAlignment="1" applyProtection="1">
      <alignment horizontal="center" vertical="center"/>
      <protection locked="0"/>
    </xf>
    <xf numFmtId="165" fontId="55" fillId="3" borderId="38" xfId="2" applyNumberFormat="1" applyFont="1" applyFill="1" applyBorder="1" applyAlignment="1" applyProtection="1">
      <alignment horizontal="center" vertical="center"/>
      <protection locked="0"/>
    </xf>
    <xf numFmtId="1" fontId="55" fillId="0" borderId="40" xfId="2" applyNumberFormat="1" applyFont="1" applyFill="1" applyBorder="1" applyAlignment="1" applyProtection="1">
      <alignment horizontal="center" vertical="center" wrapText="1"/>
      <protection locked="0"/>
    </xf>
    <xf numFmtId="20" fontId="40" fillId="3" borderId="2" xfId="0" applyNumberFormat="1" applyFont="1" applyFill="1" applyBorder="1" applyAlignment="1" applyProtection="1">
      <alignment horizontal="center" vertical="center"/>
      <protection locked="0"/>
    </xf>
    <xf numFmtId="0" fontId="40" fillId="3" borderId="32" xfId="0" applyFont="1" applyFill="1" applyBorder="1" applyAlignment="1" applyProtection="1">
      <alignment horizontal="center" vertical="center"/>
      <protection locked="0"/>
    </xf>
    <xf numFmtId="0" fontId="55" fillId="3" borderId="5" xfId="2" applyFont="1" applyFill="1" applyBorder="1" applyAlignment="1" applyProtection="1">
      <alignment horizontal="center" vertical="center"/>
      <protection locked="0"/>
    </xf>
    <xf numFmtId="165" fontId="66" fillId="2" borderId="3" xfId="2" applyNumberFormat="1" applyFont="1" applyFill="1" applyBorder="1" applyAlignment="1" applyProtection="1">
      <alignment horizontal="center" vertical="center"/>
    </xf>
    <xf numFmtId="0" fontId="66" fillId="2" borderId="2" xfId="2" applyFont="1" applyFill="1" applyBorder="1" applyAlignment="1" applyProtection="1">
      <alignment horizontal="center" vertical="center"/>
    </xf>
    <xf numFmtId="0" fontId="55" fillId="3" borderId="14" xfId="0" applyFont="1" applyFill="1" applyBorder="1" applyAlignment="1" applyProtection="1">
      <alignment horizontal="center" vertical="center"/>
      <protection locked="0"/>
    </xf>
    <xf numFmtId="0" fontId="55" fillId="3" borderId="14" xfId="0" applyNumberFormat="1" applyFont="1" applyFill="1" applyBorder="1" applyAlignment="1" applyProtection="1">
      <alignment horizontal="center" vertical="center"/>
      <protection locked="0"/>
    </xf>
    <xf numFmtId="0" fontId="55" fillId="3" borderId="44" xfId="0" applyFont="1" applyFill="1" applyBorder="1" applyAlignment="1" applyProtection="1">
      <alignment horizontal="center" vertical="center"/>
      <protection locked="0"/>
    </xf>
    <xf numFmtId="49" fontId="58" fillId="3" borderId="39" xfId="0" applyNumberFormat="1" applyFont="1" applyFill="1" applyBorder="1" applyAlignment="1" applyProtection="1">
      <alignment horizontal="center" vertical="center"/>
      <protection locked="0"/>
    </xf>
    <xf numFmtId="0" fontId="58" fillId="3" borderId="39" xfId="0" applyFont="1" applyFill="1" applyBorder="1" applyAlignment="1" applyProtection="1">
      <alignment horizontal="center" vertical="center"/>
      <protection locked="0"/>
    </xf>
    <xf numFmtId="0" fontId="58" fillId="3" borderId="40" xfId="0" applyFont="1" applyFill="1" applyBorder="1" applyAlignment="1" applyProtection="1">
      <alignment horizontal="center" vertical="center"/>
      <protection locked="0"/>
    </xf>
    <xf numFmtId="3" fontId="55" fillId="3" borderId="5" xfId="0" applyNumberFormat="1" applyFont="1" applyFill="1" applyBorder="1" applyAlignment="1" applyProtection="1">
      <alignment horizontal="center" vertical="center"/>
      <protection locked="0"/>
    </xf>
    <xf numFmtId="49" fontId="67" fillId="11" borderId="27" xfId="0" applyNumberFormat="1" applyFont="1" applyFill="1" applyBorder="1" applyAlignment="1">
      <alignment horizontal="center" vertical="center"/>
    </xf>
    <xf numFmtId="49" fontId="67" fillId="11" borderId="65" xfId="0" applyNumberFormat="1" applyFont="1" applyFill="1" applyBorder="1" applyAlignment="1">
      <alignment horizontal="center" vertical="center"/>
    </xf>
    <xf numFmtId="171" fontId="67" fillId="11" borderId="65" xfId="0" applyNumberFormat="1" applyFont="1" applyFill="1" applyBorder="1" applyAlignment="1">
      <alignment horizontal="center" vertical="center"/>
    </xf>
    <xf numFmtId="165" fontId="67" fillId="11" borderId="65" xfId="0" applyNumberFormat="1" applyFont="1" applyFill="1" applyBorder="1" applyAlignment="1">
      <alignment horizontal="center" vertical="center"/>
    </xf>
    <xf numFmtId="49" fontId="68" fillId="3" borderId="3" xfId="0" applyNumberFormat="1" applyFont="1" applyFill="1" applyBorder="1" applyAlignment="1" applyProtection="1">
      <alignment horizontal="center" vertical="center"/>
      <protection locked="0"/>
    </xf>
    <xf numFmtId="49" fontId="68" fillId="3" borderId="2" xfId="0" applyNumberFormat="1" applyFont="1" applyFill="1" applyBorder="1" applyAlignment="1" applyProtection="1">
      <alignment horizontal="center" vertical="center"/>
      <protection locked="0"/>
    </xf>
    <xf numFmtId="171" fontId="68" fillId="3" borderId="2" xfId="0" applyNumberFormat="1" applyFont="1" applyFill="1" applyBorder="1" applyAlignment="1" applyProtection="1">
      <alignment horizontal="center" vertical="center"/>
      <protection locked="0"/>
    </xf>
    <xf numFmtId="49" fontId="68" fillId="12" borderId="3" xfId="0" applyNumberFormat="1" applyFont="1" applyFill="1" applyBorder="1" applyAlignment="1" applyProtection="1">
      <alignment horizontal="center" vertical="center"/>
      <protection locked="0"/>
    </xf>
    <xf numFmtId="49" fontId="68" fillId="12" borderId="2" xfId="0" applyNumberFormat="1" applyFont="1" applyFill="1" applyBorder="1" applyAlignment="1" applyProtection="1">
      <alignment horizontal="center" vertical="center"/>
      <protection locked="0"/>
    </xf>
    <xf numFmtId="171" fontId="68" fillId="12" borderId="2" xfId="0" applyNumberFormat="1" applyFont="1" applyFill="1" applyBorder="1" applyAlignment="1" applyProtection="1">
      <alignment horizontal="center" vertical="center"/>
      <protection locked="0"/>
    </xf>
    <xf numFmtId="0" fontId="0" fillId="13" borderId="0" xfId="0" applyFill="1"/>
    <xf numFmtId="0" fontId="55" fillId="13" borderId="2" xfId="2" applyFont="1" applyFill="1" applyBorder="1" applyAlignment="1" applyProtection="1">
      <alignment vertical="center"/>
      <protection locked="0"/>
    </xf>
    <xf numFmtId="0" fontId="55" fillId="13" borderId="2" xfId="2" applyNumberFormat="1" applyFont="1" applyFill="1" applyBorder="1" applyAlignment="1" applyProtection="1">
      <alignment horizontal="center" vertical="center"/>
      <protection locked="0"/>
    </xf>
    <xf numFmtId="0" fontId="29" fillId="13" borderId="0" xfId="2" applyFont="1" applyFill="1" applyBorder="1" applyProtection="1">
      <protection locked="0"/>
    </xf>
    <xf numFmtId="0" fontId="70" fillId="3" borderId="0" xfId="0" applyFont="1" applyFill="1" applyBorder="1" applyProtection="1">
      <protection locked="0"/>
    </xf>
    <xf numFmtId="49" fontId="55" fillId="3" borderId="2" xfId="0" applyNumberFormat="1" applyFont="1" applyFill="1" applyBorder="1" applyAlignment="1" applyProtection="1">
      <alignment horizontal="center" vertical="center"/>
      <protection locked="0"/>
    </xf>
    <xf numFmtId="2" fontId="55" fillId="3" borderId="2" xfId="0" applyNumberFormat="1" applyFont="1" applyFill="1" applyBorder="1" applyAlignment="1" applyProtection="1">
      <alignment horizontal="center" vertical="center"/>
      <protection locked="0"/>
    </xf>
    <xf numFmtId="0" fontId="55" fillId="0" borderId="2" xfId="2" applyNumberFormat="1" applyFont="1" applyFill="1" applyBorder="1" applyAlignment="1" applyProtection="1">
      <alignment horizontal="center" vertical="center"/>
      <protection locked="0"/>
    </xf>
    <xf numFmtId="0" fontId="27" fillId="3" borderId="14" xfId="0" applyFont="1" applyFill="1" applyBorder="1" applyAlignment="1" applyProtection="1">
      <alignment horizontal="center" vertical="center"/>
      <protection locked="0"/>
    </xf>
    <xf numFmtId="0" fontId="27" fillId="3" borderId="15" xfId="0" applyFont="1" applyFill="1" applyBorder="1" applyAlignment="1" applyProtection="1">
      <alignment horizontal="center" vertical="center"/>
      <protection locked="0"/>
    </xf>
    <xf numFmtId="2" fontId="55" fillId="3" borderId="2" xfId="0" applyNumberFormat="1" applyFont="1" applyFill="1" applyBorder="1" applyAlignment="1" applyProtection="1">
      <alignment horizontal="center" vertical="center"/>
      <protection locked="0"/>
    </xf>
    <xf numFmtId="0" fontId="71" fillId="0" borderId="30" xfId="0" applyFont="1" applyFill="1" applyBorder="1" applyAlignment="1">
      <alignment horizontal="center" vertical="center"/>
    </xf>
    <xf numFmtId="0" fontId="71" fillId="0" borderId="32" xfId="0" applyFont="1" applyFill="1" applyBorder="1" applyAlignment="1">
      <alignment horizontal="center" vertical="center"/>
    </xf>
    <xf numFmtId="0" fontId="71" fillId="0" borderId="6" xfId="0" applyFont="1" applyFill="1" applyBorder="1" applyAlignment="1">
      <alignment horizontal="center" vertical="center"/>
    </xf>
    <xf numFmtId="0" fontId="71" fillId="0" borderId="3" xfId="0" applyFont="1" applyFill="1" applyBorder="1" applyAlignment="1">
      <alignment horizontal="center" vertical="center"/>
    </xf>
    <xf numFmtId="49" fontId="72" fillId="5" borderId="28" xfId="2" applyNumberFormat="1" applyFont="1" applyFill="1" applyBorder="1" applyAlignment="1" applyProtection="1">
      <alignment horizontal="centerContinuous" vertical="center"/>
    </xf>
    <xf numFmtId="0" fontId="72" fillId="5" borderId="29" xfId="0" applyFont="1" applyFill="1" applyBorder="1" applyAlignment="1">
      <alignment horizontal="center" vertical="center"/>
    </xf>
    <xf numFmtId="49" fontId="72" fillId="5" borderId="6" xfId="2" applyNumberFormat="1" applyFont="1" applyFill="1" applyBorder="1" applyAlignment="1" applyProtection="1">
      <alignment horizontal="center" vertical="center"/>
    </xf>
    <xf numFmtId="49" fontId="72" fillId="5" borderId="7" xfId="2" applyNumberFormat="1" applyFont="1" applyFill="1" applyBorder="1" applyAlignment="1" applyProtection="1">
      <alignment horizontal="center" vertical="center"/>
    </xf>
    <xf numFmtId="0" fontId="72" fillId="5" borderId="7" xfId="2" applyFont="1" applyFill="1" applyBorder="1" applyAlignment="1" applyProtection="1">
      <alignment horizontal="center" vertical="center"/>
    </xf>
    <xf numFmtId="0" fontId="72" fillId="5" borderId="30" xfId="0" applyFont="1" applyFill="1" applyBorder="1" applyAlignment="1">
      <alignment horizontal="center" vertical="center"/>
    </xf>
    <xf numFmtId="49" fontId="71" fillId="4" borderId="2" xfId="0" applyNumberFormat="1" applyFont="1" applyFill="1" applyBorder="1" applyAlignment="1">
      <alignment horizontal="center" vertical="center"/>
    </xf>
    <xf numFmtId="0" fontId="74" fillId="4" borderId="2" xfId="0" applyFont="1" applyFill="1" applyBorder="1" applyAlignment="1">
      <alignment horizontal="left" vertical="center"/>
    </xf>
    <xf numFmtId="49" fontId="75" fillId="0" borderId="2" xfId="0" applyNumberFormat="1" applyFont="1" applyFill="1" applyBorder="1" applyAlignment="1">
      <alignment horizontal="center" vertical="center"/>
    </xf>
    <xf numFmtId="0" fontId="71" fillId="0" borderId="2" xfId="0" applyFont="1" applyFill="1" applyBorder="1" applyAlignment="1">
      <alignment horizontal="left" vertical="center"/>
    </xf>
    <xf numFmtId="0" fontId="75" fillId="0" borderId="2" xfId="0" applyFont="1" applyFill="1" applyBorder="1" applyAlignment="1">
      <alignment horizontal="left" vertical="center"/>
    </xf>
    <xf numFmtId="49" fontId="71" fillId="4" borderId="7" xfId="0" applyNumberFormat="1" applyFont="1" applyFill="1" applyBorder="1" applyAlignment="1">
      <alignment horizontal="center" vertical="center"/>
    </xf>
    <xf numFmtId="0" fontId="74" fillId="4" borderId="7" xfId="0" applyFont="1" applyFill="1" applyBorder="1" applyAlignment="1">
      <alignment horizontal="left" vertical="center"/>
    </xf>
    <xf numFmtId="49" fontId="71" fillId="0" borderId="2" xfId="0" applyNumberFormat="1" applyFont="1" applyFill="1" applyBorder="1" applyAlignment="1">
      <alignment horizontal="center" vertical="center"/>
    </xf>
    <xf numFmtId="49" fontId="74" fillId="4" borderId="7" xfId="0" applyNumberFormat="1" applyFont="1" applyFill="1" applyBorder="1" applyAlignment="1">
      <alignment horizontal="left" vertical="center"/>
    </xf>
    <xf numFmtId="49" fontId="71" fillId="3" borderId="2" xfId="0" applyNumberFormat="1" applyFont="1" applyFill="1" applyBorder="1" applyAlignment="1">
      <alignment horizontal="center" vertical="center"/>
    </xf>
    <xf numFmtId="0" fontId="75" fillId="0" borderId="2" xfId="0" applyFont="1" applyFill="1" applyBorder="1" applyAlignment="1">
      <alignment horizontal="left" vertical="center" wrapText="1"/>
    </xf>
    <xf numFmtId="0" fontId="75" fillId="0" borderId="5" xfId="0" applyFont="1" applyFill="1" applyBorder="1" applyAlignment="1">
      <alignment horizontal="left" vertical="center"/>
    </xf>
    <xf numFmtId="0" fontId="75" fillId="0" borderId="39" xfId="0" applyFont="1" applyFill="1" applyBorder="1" applyAlignment="1">
      <alignment horizontal="left" vertical="center"/>
    </xf>
    <xf numFmtId="0" fontId="75" fillId="3" borderId="5" xfId="0" applyFont="1" applyFill="1" applyBorder="1" applyAlignment="1">
      <alignment horizontal="left" vertical="center" wrapText="1"/>
    </xf>
    <xf numFmtId="49" fontId="71" fillId="3" borderId="39" xfId="0" applyNumberFormat="1" applyFont="1" applyFill="1" applyBorder="1" applyAlignment="1">
      <alignment horizontal="center" vertical="center"/>
    </xf>
    <xf numFmtId="0" fontId="73" fillId="4" borderId="7" xfId="0" applyFont="1" applyFill="1" applyBorder="1" applyAlignment="1">
      <alignment horizontal="left" vertical="center"/>
    </xf>
    <xf numFmtId="49" fontId="71" fillId="3" borderId="5" xfId="0" applyNumberFormat="1" applyFont="1" applyFill="1" applyBorder="1" applyAlignment="1">
      <alignment horizontal="center" vertical="center"/>
    </xf>
    <xf numFmtId="0" fontId="71" fillId="0" borderId="5" xfId="0" applyFont="1" applyFill="1" applyBorder="1" applyAlignment="1">
      <alignment horizontal="left" vertical="center"/>
    </xf>
    <xf numFmtId="0" fontId="73" fillId="4" borderId="23" xfId="0" applyFont="1" applyFill="1" applyBorder="1" applyAlignment="1">
      <alignment horizontal="left" vertical="center"/>
    </xf>
    <xf numFmtId="0" fontId="71" fillId="0" borderId="2" xfId="0" applyFont="1" applyFill="1" applyBorder="1"/>
    <xf numFmtId="49" fontId="71" fillId="3" borderId="23" xfId="0" applyNumberFormat="1" applyFont="1" applyFill="1" applyBorder="1" applyAlignment="1">
      <alignment horizontal="center" vertical="center"/>
    </xf>
    <xf numFmtId="0" fontId="71" fillId="0" borderId="23" xfId="0" applyFont="1" applyFill="1" applyBorder="1" applyAlignment="1">
      <alignment horizontal="left" vertical="center"/>
    </xf>
    <xf numFmtId="0" fontId="71" fillId="3" borderId="23" xfId="0" applyFont="1" applyFill="1" applyBorder="1" applyAlignment="1">
      <alignment horizontal="left" vertical="center"/>
    </xf>
    <xf numFmtId="49" fontId="71" fillId="4" borderId="11" xfId="0" applyNumberFormat="1" applyFont="1" applyFill="1" applyBorder="1" applyAlignment="1">
      <alignment horizontal="center" vertical="center"/>
    </xf>
    <xf numFmtId="49" fontId="71" fillId="3" borderId="15" xfId="0" applyNumberFormat="1" applyFont="1" applyFill="1" applyBorder="1" applyAlignment="1">
      <alignment horizontal="center" vertical="center"/>
    </xf>
    <xf numFmtId="0" fontId="71" fillId="0" borderId="39" xfId="0" applyFont="1" applyFill="1" applyBorder="1" applyAlignment="1">
      <alignment horizontal="left" vertical="center"/>
    </xf>
    <xf numFmtId="49" fontId="71" fillId="0" borderId="5" xfId="0" applyNumberFormat="1" applyFont="1" applyFill="1" applyBorder="1" applyAlignment="1">
      <alignment horizontal="center" vertical="center"/>
    </xf>
    <xf numFmtId="49" fontId="71" fillId="4" borderId="23" xfId="0" applyNumberFormat="1" applyFont="1" applyFill="1" applyBorder="1" applyAlignment="1">
      <alignment horizontal="center" vertical="center"/>
    </xf>
    <xf numFmtId="0" fontId="71" fillId="0" borderId="2" xfId="0" applyFont="1" applyBorder="1"/>
    <xf numFmtId="0" fontId="71" fillId="3" borderId="2" xfId="0" applyFont="1" applyFill="1" applyBorder="1"/>
    <xf numFmtId="0" fontId="71" fillId="3" borderId="2" xfId="0" applyFont="1" applyFill="1" applyBorder="1" applyAlignment="1">
      <alignment horizontal="left" vertical="center"/>
    </xf>
    <xf numFmtId="0" fontId="71" fillId="3" borderId="5" xfId="0" applyFont="1" applyFill="1" applyBorder="1" applyAlignment="1">
      <alignment horizontal="left" vertical="center"/>
    </xf>
    <xf numFmtId="49" fontId="71" fillId="0" borderId="2" xfId="0" applyNumberFormat="1" applyFont="1" applyBorder="1" applyAlignment="1">
      <alignment horizontal="center" vertical="center"/>
    </xf>
    <xf numFmtId="49" fontId="71" fillId="0" borderId="5" xfId="0" applyNumberFormat="1" applyFont="1" applyBorder="1" applyAlignment="1">
      <alignment horizontal="center" vertical="center"/>
    </xf>
    <xf numFmtId="0" fontId="71" fillId="0" borderId="32" xfId="0" applyFont="1" applyBorder="1" applyAlignment="1">
      <alignment vertical="center"/>
    </xf>
    <xf numFmtId="0" fontId="71" fillId="0" borderId="32" xfId="0" applyFont="1" applyBorder="1" applyAlignment="1">
      <alignment vertical="center" wrapText="1"/>
    </xf>
    <xf numFmtId="0" fontId="71" fillId="4" borderId="30" xfId="0" applyFont="1" applyFill="1" applyBorder="1" applyAlignment="1">
      <alignment vertical="center"/>
    </xf>
    <xf numFmtId="0" fontId="71" fillId="0" borderId="38" xfId="0" applyFont="1" applyBorder="1" applyAlignment="1">
      <alignment vertical="center"/>
    </xf>
    <xf numFmtId="0" fontId="76" fillId="0" borderId="32" xfId="0" applyFont="1" applyFill="1" applyBorder="1" applyAlignment="1">
      <alignment vertical="center" wrapText="1"/>
    </xf>
    <xf numFmtId="0" fontId="76" fillId="0" borderId="40" xfId="0" applyFont="1" applyFill="1" applyBorder="1" applyAlignment="1">
      <alignment vertical="center" wrapText="1"/>
    </xf>
    <xf numFmtId="0" fontId="75" fillId="0" borderId="32" xfId="0" applyFont="1" applyFill="1" applyBorder="1" applyAlignment="1">
      <alignment horizontal="left" vertical="center" wrapText="1"/>
    </xf>
    <xf numFmtId="0" fontId="75" fillId="0" borderId="32" xfId="0" applyFont="1" applyFill="1" applyBorder="1" applyAlignment="1">
      <alignment vertical="center"/>
    </xf>
    <xf numFmtId="0" fontId="75" fillId="0" borderId="40" xfId="0" applyFont="1" applyFill="1" applyBorder="1" applyAlignment="1">
      <alignment vertical="center" wrapText="1"/>
    </xf>
    <xf numFmtId="0" fontId="76" fillId="0" borderId="38" xfId="0" applyFont="1" applyFill="1" applyBorder="1" applyAlignment="1">
      <alignment vertical="center" wrapText="1"/>
    </xf>
    <xf numFmtId="0" fontId="76" fillId="0" borderId="38" xfId="0" applyFont="1" applyBorder="1" applyAlignment="1">
      <alignment vertical="center"/>
    </xf>
    <xf numFmtId="0" fontId="76" fillId="0" borderId="32" xfId="0" applyFont="1" applyBorder="1" applyAlignment="1">
      <alignment vertical="center"/>
    </xf>
    <xf numFmtId="0" fontId="71" fillId="0" borderId="32" xfId="0" applyFont="1" applyFill="1" applyBorder="1" applyAlignment="1">
      <alignment horizontal="left" vertical="center"/>
    </xf>
    <xf numFmtId="0" fontId="71" fillId="0" borderId="32" xfId="0" applyFont="1" applyFill="1" applyBorder="1" applyAlignment="1">
      <alignment vertical="center"/>
    </xf>
    <xf numFmtId="0" fontId="71" fillId="0" borderId="40" xfId="0" applyFont="1" applyFill="1" applyBorder="1" applyAlignment="1">
      <alignment vertical="center"/>
    </xf>
    <xf numFmtId="0" fontId="71" fillId="3" borderId="41" xfId="0" applyFont="1" applyFill="1" applyBorder="1" applyAlignment="1">
      <alignment vertical="center"/>
    </xf>
    <xf numFmtId="0" fontId="71" fillId="3" borderId="41" xfId="0" applyFont="1" applyFill="1" applyBorder="1" applyAlignment="1">
      <alignment vertical="center" wrapText="1"/>
    </xf>
    <xf numFmtId="0" fontId="71" fillId="4" borderId="41" xfId="0" applyFont="1" applyFill="1" applyBorder="1" applyAlignment="1">
      <alignment vertical="center"/>
    </xf>
    <xf numFmtId="0" fontId="17" fillId="0" borderId="18" xfId="0" applyFont="1" applyBorder="1"/>
    <xf numFmtId="0" fontId="71" fillId="0" borderId="40" xfId="0" applyFont="1" applyBorder="1" applyAlignment="1">
      <alignment vertical="center"/>
    </xf>
    <xf numFmtId="0" fontId="71" fillId="3" borderId="32" xfId="0" applyFont="1" applyFill="1" applyBorder="1" applyAlignment="1">
      <alignment horizontal="left" vertical="center"/>
    </xf>
    <xf numFmtId="0" fontId="76" fillId="0" borderId="32" xfId="0" applyFont="1" applyFill="1" applyBorder="1" applyAlignment="1">
      <alignment vertical="center"/>
    </xf>
    <xf numFmtId="0" fontId="71" fillId="0" borderId="32" xfId="0" applyFont="1" applyBorder="1"/>
    <xf numFmtId="0" fontId="71" fillId="3" borderId="33" xfId="0" applyFont="1" applyFill="1" applyBorder="1" applyAlignment="1">
      <alignment horizontal="left" vertical="center" wrapText="1"/>
    </xf>
    <xf numFmtId="0" fontId="71" fillId="3" borderId="34" xfId="0" applyFont="1" applyFill="1" applyBorder="1" applyAlignment="1">
      <alignment horizontal="left" vertical="center" wrapText="1"/>
    </xf>
    <xf numFmtId="0" fontId="71" fillId="3" borderId="31" xfId="0" applyFont="1" applyFill="1" applyBorder="1" applyAlignment="1">
      <alignment horizontal="left" vertical="center" wrapText="1"/>
    </xf>
    <xf numFmtId="0" fontId="66" fillId="2" borderId="2" xfId="2" applyFont="1" applyFill="1" applyBorder="1" applyAlignment="1" applyProtection="1">
      <alignment horizontal="center" vertical="center"/>
    </xf>
    <xf numFmtId="0" fontId="69" fillId="4" borderId="5" xfId="0" applyFont="1" applyFill="1" applyBorder="1" applyAlignment="1">
      <alignment horizontal="center" vertical="center"/>
    </xf>
    <xf numFmtId="174" fontId="78" fillId="14" borderId="2" xfId="0" applyNumberFormat="1" applyFont="1" applyFill="1" applyBorder="1" applyAlignment="1">
      <alignment horizontal="center" vertical="center"/>
    </xf>
    <xf numFmtId="175" fontId="52" fillId="0" borderId="23" xfId="0" applyNumberFormat="1" applyFont="1" applyBorder="1" applyAlignment="1">
      <alignment horizontal="center" vertical="center"/>
    </xf>
    <xf numFmtId="175" fontId="52" fillId="3" borderId="2" xfId="0" applyNumberFormat="1" applyFont="1" applyFill="1" applyBorder="1" applyAlignment="1">
      <alignment horizontal="center" vertical="center"/>
    </xf>
    <xf numFmtId="0" fontId="81" fillId="3" borderId="14" xfId="0" applyFont="1" applyFill="1" applyBorder="1" applyAlignment="1" applyProtection="1">
      <alignment horizontal="center" vertical="center" wrapText="1"/>
      <protection locked="0"/>
    </xf>
    <xf numFmtId="0" fontId="81" fillId="3" borderId="1" xfId="0" applyFont="1" applyFill="1" applyBorder="1" applyAlignment="1" applyProtection="1">
      <alignment horizontal="center" vertical="center" wrapText="1"/>
      <protection locked="0"/>
    </xf>
    <xf numFmtId="0" fontId="81" fillId="3" borderId="15" xfId="0" applyFont="1" applyFill="1" applyBorder="1" applyAlignment="1" applyProtection="1">
      <alignment horizontal="center" vertical="center" wrapText="1"/>
      <protection locked="0"/>
    </xf>
    <xf numFmtId="0" fontId="64" fillId="4" borderId="67" xfId="0" applyFont="1" applyFill="1" applyBorder="1" applyAlignment="1">
      <alignment vertical="center"/>
    </xf>
    <xf numFmtId="0" fontId="64" fillId="4" borderId="68" xfId="0" applyFont="1" applyFill="1" applyBorder="1" applyAlignment="1">
      <alignment vertical="center"/>
    </xf>
    <xf numFmtId="0" fontId="43" fillId="9" borderId="16" xfId="0" applyFont="1" applyFill="1" applyBorder="1" applyAlignment="1" applyProtection="1">
      <alignment vertical="center" wrapText="1"/>
      <protection locked="0"/>
    </xf>
    <xf numFmtId="0" fontId="43" fillId="9" borderId="9" xfId="0" applyFont="1" applyFill="1" applyBorder="1" applyAlignment="1" applyProtection="1">
      <alignment vertical="center"/>
      <protection locked="0"/>
    </xf>
    <xf numFmtId="0" fontId="43" fillId="9" borderId="62" xfId="0" applyFont="1" applyFill="1" applyBorder="1" applyAlignment="1" applyProtection="1">
      <alignment vertical="center"/>
      <protection locked="0"/>
    </xf>
    <xf numFmtId="0" fontId="18" fillId="3" borderId="2" xfId="0" applyFont="1" applyFill="1" applyBorder="1" applyAlignment="1" applyProtection="1">
      <alignment horizontal="center" vertical="center"/>
      <protection locked="0"/>
    </xf>
    <xf numFmtId="0" fontId="49" fillId="3" borderId="19" xfId="0" applyFont="1" applyFill="1" applyBorder="1" applyAlignment="1" applyProtection="1">
      <alignment horizontal="left" vertical="center"/>
      <protection locked="0"/>
    </xf>
    <xf numFmtId="0" fontId="49" fillId="3" borderId="1" xfId="0" applyFont="1" applyFill="1" applyBorder="1" applyAlignment="1" applyProtection="1">
      <alignment horizontal="left" vertical="center"/>
      <protection locked="0"/>
    </xf>
    <xf numFmtId="0" fontId="49" fillId="3" borderId="25" xfId="0" applyFont="1" applyFill="1" applyBorder="1" applyAlignment="1" applyProtection="1">
      <alignment horizontal="left" vertical="center"/>
      <protection locked="0"/>
    </xf>
    <xf numFmtId="0" fontId="26" fillId="0" borderId="20" xfId="0" applyFont="1" applyBorder="1" applyAlignment="1" applyProtection="1">
      <alignment horizontal="center"/>
    </xf>
    <xf numFmtId="0" fontId="26" fillId="0" borderId="39" xfId="0" applyFont="1" applyBorder="1" applyAlignment="1" applyProtection="1">
      <alignment horizontal="center"/>
    </xf>
    <xf numFmtId="0" fontId="27" fillId="3" borderId="2" xfId="0" applyFont="1" applyFill="1" applyBorder="1" applyAlignment="1" applyProtection="1">
      <alignment horizontal="center" vertical="center"/>
      <protection locked="0"/>
    </xf>
    <xf numFmtId="0" fontId="34" fillId="3" borderId="2" xfId="0" applyFont="1" applyFill="1" applyBorder="1" applyAlignment="1" applyProtection="1">
      <alignment horizontal="center" vertical="center"/>
      <protection locked="0"/>
    </xf>
    <xf numFmtId="0" fontId="22" fillId="9" borderId="22" xfId="0" applyFont="1" applyFill="1" applyBorder="1" applyAlignment="1" applyProtection="1">
      <alignment horizontal="center"/>
    </xf>
    <xf numFmtId="0" fontId="22" fillId="9" borderId="12" xfId="0" applyFont="1" applyFill="1" applyBorder="1" applyAlignment="1" applyProtection="1">
      <alignment horizontal="center"/>
    </xf>
    <xf numFmtId="0" fontId="22" fillId="9" borderId="13" xfId="0" applyFont="1" applyFill="1" applyBorder="1" applyAlignment="1" applyProtection="1">
      <alignment horizontal="center"/>
    </xf>
    <xf numFmtId="0" fontId="18" fillId="0" borderId="2" xfId="0" applyFont="1" applyBorder="1" applyAlignment="1" applyProtection="1">
      <alignment horizontal="center" vertical="center" wrapText="1"/>
    </xf>
    <xf numFmtId="0" fontId="27" fillId="3" borderId="14" xfId="0" applyFont="1" applyFill="1" applyBorder="1" applyAlignment="1" applyProtection="1">
      <alignment horizontal="center" vertical="center"/>
      <protection locked="0"/>
    </xf>
    <xf numFmtId="0" fontId="27" fillId="3" borderId="15" xfId="0" applyFont="1" applyFill="1" applyBorder="1" applyAlignment="1" applyProtection="1">
      <alignment horizontal="center" vertical="center"/>
      <protection locked="0"/>
    </xf>
    <xf numFmtId="0" fontId="49" fillId="3" borderId="43" xfId="0" applyFont="1" applyFill="1" applyBorder="1" applyAlignment="1" applyProtection="1">
      <alignment horizontal="left" vertical="center"/>
      <protection locked="0"/>
    </xf>
    <xf numFmtId="0" fontId="49" fillId="3" borderId="12" xfId="0" applyFont="1" applyFill="1" applyBorder="1" applyAlignment="1" applyProtection="1">
      <alignment horizontal="left" vertical="center"/>
      <protection locked="0"/>
    </xf>
    <xf numFmtId="0" fontId="49" fillId="3" borderId="24" xfId="0" applyFont="1" applyFill="1" applyBorder="1" applyAlignment="1" applyProtection="1">
      <alignment horizontal="left" vertical="center"/>
      <protection locked="0"/>
    </xf>
    <xf numFmtId="0" fontId="43" fillId="9" borderId="16" xfId="0" applyFont="1" applyFill="1" applyBorder="1" applyAlignment="1" applyProtection="1">
      <alignment horizontal="center" vertical="center"/>
      <protection locked="0"/>
    </xf>
    <xf numFmtId="0" fontId="43" fillId="9" borderId="8" xfId="0" applyFont="1" applyFill="1" applyBorder="1" applyAlignment="1" applyProtection="1">
      <alignment horizontal="center" vertical="center"/>
      <protection locked="0"/>
    </xf>
    <xf numFmtId="0" fontId="43" fillId="9" borderId="77" xfId="0" applyFont="1" applyFill="1" applyBorder="1" applyAlignment="1" applyProtection="1">
      <alignment horizontal="center" vertical="center"/>
      <protection locked="0"/>
    </xf>
    <xf numFmtId="0" fontId="43" fillId="9" borderId="9" xfId="0" applyFont="1" applyFill="1" applyBorder="1" applyAlignment="1" applyProtection="1">
      <alignment horizontal="center" vertical="center"/>
      <protection locked="0"/>
    </xf>
    <xf numFmtId="0" fontId="43" fillId="9" borderId="0" xfId="0" applyFont="1" applyFill="1" applyBorder="1" applyAlignment="1" applyProtection="1">
      <alignment horizontal="center" vertical="center"/>
      <protection locked="0"/>
    </xf>
    <xf numFmtId="0" fontId="43" fillId="9" borderId="78" xfId="0" applyFont="1" applyFill="1" applyBorder="1" applyAlignment="1" applyProtection="1">
      <alignment horizontal="center" vertical="center"/>
      <protection locked="0"/>
    </xf>
    <xf numFmtId="0" fontId="43" fillId="9" borderId="62" xfId="0" applyFont="1" applyFill="1" applyBorder="1" applyAlignment="1" applyProtection="1">
      <alignment horizontal="center" vertical="center"/>
      <protection locked="0"/>
    </xf>
    <xf numFmtId="0" fontId="43" fillId="9" borderId="63" xfId="0" applyFont="1" applyFill="1" applyBorder="1" applyAlignment="1" applyProtection="1">
      <alignment horizontal="center" vertical="center"/>
      <protection locked="0"/>
    </xf>
    <xf numFmtId="0" fontId="43" fillId="9" borderId="79" xfId="0" applyFont="1" applyFill="1" applyBorder="1" applyAlignment="1" applyProtection="1">
      <alignment horizontal="center" vertical="center"/>
      <protection locked="0"/>
    </xf>
    <xf numFmtId="0" fontId="43" fillId="9" borderId="16" xfId="0" applyFont="1" applyFill="1" applyBorder="1" applyAlignment="1" applyProtection="1">
      <alignment horizontal="center" vertical="center" wrapText="1"/>
      <protection locked="0"/>
    </xf>
    <xf numFmtId="0" fontId="43" fillId="9" borderId="8" xfId="0" applyFont="1" applyFill="1" applyBorder="1" applyAlignment="1" applyProtection="1">
      <alignment horizontal="center" vertical="center" wrapText="1"/>
      <protection locked="0"/>
    </xf>
    <xf numFmtId="0" fontId="43" fillId="9" borderId="77" xfId="0" applyFont="1" applyFill="1" applyBorder="1" applyAlignment="1" applyProtection="1">
      <alignment horizontal="center" vertical="center" wrapText="1"/>
      <protection locked="0"/>
    </xf>
    <xf numFmtId="0" fontId="43" fillId="9" borderId="9" xfId="0" applyFont="1" applyFill="1" applyBorder="1" applyAlignment="1" applyProtection="1">
      <alignment horizontal="center" vertical="center" wrapText="1"/>
      <protection locked="0"/>
    </xf>
    <xf numFmtId="0" fontId="43" fillId="9" borderId="0" xfId="0" applyFont="1" applyFill="1" applyBorder="1" applyAlignment="1" applyProtection="1">
      <alignment horizontal="center" vertical="center" wrapText="1"/>
      <protection locked="0"/>
    </xf>
    <xf numFmtId="0" fontId="43" fillId="9" borderId="78" xfId="0" applyFont="1" applyFill="1" applyBorder="1" applyAlignment="1" applyProtection="1">
      <alignment horizontal="center" vertical="center" wrapText="1"/>
      <protection locked="0"/>
    </xf>
    <xf numFmtId="0" fontId="43" fillId="9" borderId="62" xfId="0" applyFont="1" applyFill="1" applyBorder="1" applyAlignment="1" applyProtection="1">
      <alignment horizontal="center" vertical="center" wrapText="1"/>
      <protection locked="0"/>
    </xf>
    <xf numFmtId="0" fontId="43" fillId="9" borderId="63" xfId="0" applyFont="1" applyFill="1" applyBorder="1" applyAlignment="1" applyProtection="1">
      <alignment horizontal="center" vertical="center" wrapText="1"/>
      <protection locked="0"/>
    </xf>
    <xf numFmtId="0" fontId="43" fillId="9" borderId="79" xfId="0" applyFont="1" applyFill="1" applyBorder="1" applyAlignment="1" applyProtection="1">
      <alignment horizontal="center" vertical="center" wrapText="1"/>
      <protection locked="0"/>
    </xf>
    <xf numFmtId="0" fontId="35" fillId="3" borderId="84" xfId="0" applyFont="1" applyFill="1" applyBorder="1" applyAlignment="1" applyProtection="1">
      <alignment horizontal="left" vertical="top"/>
      <protection locked="0"/>
    </xf>
    <xf numFmtId="0" fontId="35" fillId="3" borderId="8" xfId="0" applyFont="1" applyFill="1" applyBorder="1" applyAlignment="1" applyProtection="1">
      <alignment horizontal="left" vertical="top"/>
      <protection locked="0"/>
    </xf>
    <xf numFmtId="0" fontId="35" fillId="3" borderId="17" xfId="0" applyFont="1" applyFill="1" applyBorder="1" applyAlignment="1" applyProtection="1">
      <alignment horizontal="left" vertical="top"/>
      <protection locked="0"/>
    </xf>
    <xf numFmtId="0" fontId="35" fillId="3" borderId="80" xfId="0" applyFont="1" applyFill="1" applyBorder="1" applyAlignment="1" applyProtection="1">
      <alignment horizontal="left" vertical="top"/>
      <protection locked="0"/>
    </xf>
    <xf numFmtId="0" fontId="35" fillId="3" borderId="0" xfId="0" applyFont="1" applyFill="1" applyBorder="1" applyAlignment="1" applyProtection="1">
      <alignment horizontal="left" vertical="top"/>
      <protection locked="0"/>
    </xf>
    <xf numFmtId="0" fontId="35" fillId="3" borderId="18" xfId="0" applyFont="1" applyFill="1" applyBorder="1" applyAlignment="1" applyProtection="1">
      <alignment horizontal="left" vertical="top"/>
      <protection locked="0"/>
    </xf>
    <xf numFmtId="0" fontId="35" fillId="3" borderId="82" xfId="0" applyFont="1" applyFill="1" applyBorder="1" applyAlignment="1" applyProtection="1">
      <alignment horizontal="left" vertical="top"/>
      <protection locked="0"/>
    </xf>
    <xf numFmtId="0" fontId="35" fillId="3" borderId="63" xfId="0" applyFont="1" applyFill="1" applyBorder="1" applyAlignment="1" applyProtection="1">
      <alignment horizontal="left" vertical="top"/>
      <protection locked="0"/>
    </xf>
    <xf numFmtId="0" fontId="35" fillId="3" borderId="64" xfId="0" applyFont="1" applyFill="1" applyBorder="1" applyAlignment="1" applyProtection="1">
      <alignment horizontal="left" vertical="top"/>
      <protection locked="0"/>
    </xf>
    <xf numFmtId="0" fontId="34" fillId="3" borderId="84" xfId="0" applyFont="1" applyFill="1" applyBorder="1" applyAlignment="1" applyProtection="1">
      <alignment horizontal="left" vertical="top"/>
      <protection locked="0"/>
    </xf>
    <xf numFmtId="0" fontId="34" fillId="3" borderId="8" xfId="0" applyFont="1" applyFill="1" applyBorder="1" applyAlignment="1" applyProtection="1">
      <alignment horizontal="left" vertical="top"/>
      <protection locked="0"/>
    </xf>
    <xf numFmtId="0" fontId="34" fillId="3" borderId="17" xfId="0" applyFont="1" applyFill="1" applyBorder="1" applyAlignment="1" applyProtection="1">
      <alignment horizontal="left" vertical="top"/>
      <protection locked="0"/>
    </xf>
    <xf numFmtId="0" fontId="34" fillId="3" borderId="80" xfId="0" applyFont="1" applyFill="1" applyBorder="1" applyAlignment="1" applyProtection="1">
      <alignment horizontal="left" vertical="top"/>
      <protection locked="0"/>
    </xf>
    <xf numFmtId="0" fontId="34" fillId="3" borderId="0" xfId="0" applyFont="1" applyFill="1" applyBorder="1" applyAlignment="1" applyProtection="1">
      <alignment horizontal="left" vertical="top"/>
      <protection locked="0"/>
    </xf>
    <xf numFmtId="0" fontId="34" fillId="3" borderId="18" xfId="0" applyFont="1" applyFill="1" applyBorder="1" applyAlignment="1" applyProtection="1">
      <alignment horizontal="left" vertical="top"/>
      <protection locked="0"/>
    </xf>
    <xf numFmtId="0" fontId="34" fillId="3" borderId="26" xfId="0" applyFont="1" applyFill="1" applyBorder="1" applyAlignment="1" applyProtection="1">
      <alignment horizontal="left" vertical="top"/>
      <protection locked="0"/>
    </xf>
    <xf numFmtId="0" fontId="34" fillId="3" borderId="10" xfId="0" applyFont="1" applyFill="1" applyBorder="1" applyAlignment="1" applyProtection="1">
      <alignment horizontal="left" vertical="top"/>
      <protection locked="0"/>
    </xf>
    <xf numFmtId="0" fontId="34" fillId="3" borderId="85" xfId="0" applyFont="1" applyFill="1" applyBorder="1" applyAlignment="1" applyProtection="1">
      <alignment horizontal="left" vertical="top"/>
      <protection locked="0"/>
    </xf>
    <xf numFmtId="0" fontId="43" fillId="9" borderId="29" xfId="0" applyFont="1" applyFill="1" applyBorder="1" applyAlignment="1" applyProtection="1">
      <alignment horizontal="center" vertical="center"/>
      <protection locked="0"/>
    </xf>
    <xf numFmtId="0" fontId="43" fillId="9" borderId="42" xfId="0" applyFont="1" applyFill="1" applyBorder="1" applyAlignment="1" applyProtection="1">
      <alignment horizontal="center" vertical="center"/>
      <protection locked="0"/>
    </xf>
    <xf numFmtId="0" fontId="43" fillId="9" borderId="86" xfId="0" applyFont="1" applyFill="1" applyBorder="1" applyAlignment="1" applyProtection="1">
      <alignment horizontal="center" vertical="center"/>
      <protection locked="0"/>
    </xf>
    <xf numFmtId="0" fontId="27" fillId="3" borderId="9" xfId="0" applyFont="1" applyFill="1" applyBorder="1" applyAlignment="1" applyProtection="1">
      <alignment horizontal="left" vertical="top" wrapText="1"/>
      <protection locked="0"/>
    </xf>
    <xf numFmtId="0" fontId="27" fillId="3" borderId="0" xfId="0" applyFont="1" applyFill="1" applyBorder="1" applyAlignment="1" applyProtection="1">
      <alignment horizontal="left" vertical="top" wrapText="1"/>
      <protection locked="0"/>
    </xf>
    <xf numFmtId="0" fontId="27" fillId="3" borderId="18" xfId="0" applyFont="1" applyFill="1" applyBorder="1" applyAlignment="1" applyProtection="1">
      <alignment horizontal="left" vertical="top" wrapText="1"/>
      <protection locked="0"/>
    </xf>
    <xf numFmtId="0" fontId="27" fillId="3" borderId="62" xfId="0" applyFont="1" applyFill="1" applyBorder="1" applyAlignment="1" applyProtection="1">
      <alignment horizontal="left" vertical="top" wrapText="1"/>
      <protection locked="0"/>
    </xf>
    <xf numFmtId="0" fontId="27" fillId="3" borderId="63" xfId="0" applyFont="1" applyFill="1" applyBorder="1" applyAlignment="1" applyProtection="1">
      <alignment horizontal="left" vertical="top" wrapText="1"/>
      <protection locked="0"/>
    </xf>
    <xf numFmtId="0" fontId="27" fillId="3" borderId="64" xfId="0" applyFont="1" applyFill="1" applyBorder="1" applyAlignment="1" applyProtection="1">
      <alignment horizontal="left" vertical="top" wrapText="1"/>
      <protection locked="0"/>
    </xf>
    <xf numFmtId="0" fontId="35" fillId="3" borderId="16" xfId="0" applyFont="1" applyFill="1" applyBorder="1" applyAlignment="1" applyProtection="1">
      <alignment horizontal="left" vertical="top"/>
      <protection locked="0"/>
    </xf>
    <xf numFmtId="0" fontId="35" fillId="3" borderId="9" xfId="0" applyFont="1" applyFill="1" applyBorder="1" applyAlignment="1" applyProtection="1">
      <alignment horizontal="left" vertical="top"/>
      <protection locked="0"/>
    </xf>
    <xf numFmtId="0" fontId="35" fillId="3" borderId="62" xfId="0" applyFont="1" applyFill="1" applyBorder="1" applyAlignment="1" applyProtection="1">
      <alignment horizontal="left" vertical="top"/>
      <protection locked="0"/>
    </xf>
    <xf numFmtId="166" fontId="27" fillId="3" borderId="19" xfId="0" applyNumberFormat="1" applyFont="1" applyFill="1" applyBorder="1" applyAlignment="1" applyProtection="1">
      <alignment horizontal="center" vertical="center"/>
      <protection locked="0"/>
    </xf>
    <xf numFmtId="166" fontId="27" fillId="3" borderId="15" xfId="0" applyNumberFormat="1" applyFont="1" applyFill="1" applyBorder="1" applyAlignment="1" applyProtection="1">
      <alignment horizontal="center" vertical="center"/>
      <protection locked="0"/>
    </xf>
    <xf numFmtId="0" fontId="18" fillId="0" borderId="2" xfId="0" applyFont="1" applyFill="1" applyBorder="1" applyAlignment="1" applyProtection="1">
      <alignment horizontal="center" vertical="center"/>
      <protection locked="0"/>
    </xf>
    <xf numFmtId="0" fontId="18" fillId="3" borderId="14" xfId="0" applyFont="1" applyFill="1" applyBorder="1" applyAlignment="1" applyProtection="1">
      <alignment horizontal="center" vertical="center"/>
      <protection locked="0"/>
    </xf>
    <xf numFmtId="0" fontId="18" fillId="3" borderId="15" xfId="0" applyFont="1" applyFill="1" applyBorder="1" applyAlignment="1" applyProtection="1">
      <alignment horizontal="center" vertical="center"/>
      <protection locked="0"/>
    </xf>
    <xf numFmtId="0" fontId="18" fillId="0" borderId="12" xfId="0" applyFont="1" applyBorder="1" applyAlignment="1" applyProtection="1">
      <alignment horizontal="left" vertical="center"/>
      <protection locked="0"/>
    </xf>
    <xf numFmtId="0" fontId="18" fillId="0" borderId="24" xfId="0" applyFont="1" applyBorder="1" applyAlignment="1" applyProtection="1">
      <alignment horizontal="left" vertical="center"/>
      <protection locked="0"/>
    </xf>
    <xf numFmtId="0" fontId="18" fillId="0" borderId="48" xfId="0" applyFont="1" applyBorder="1" applyAlignment="1" applyProtection="1">
      <alignment horizontal="left" vertical="center"/>
      <protection locked="0"/>
    </xf>
    <xf numFmtId="0" fontId="18" fillId="0" borderId="51" xfId="0" applyFont="1" applyBorder="1" applyAlignment="1" applyProtection="1">
      <alignment horizontal="left" vertical="center"/>
      <protection locked="0"/>
    </xf>
    <xf numFmtId="0" fontId="34" fillId="3" borderId="2" xfId="0" applyFont="1" applyFill="1" applyBorder="1" applyAlignment="1" applyProtection="1">
      <alignment horizontal="left" vertical="top" wrapText="1"/>
      <protection locked="0"/>
    </xf>
    <xf numFmtId="0" fontId="34" fillId="3" borderId="2" xfId="0" applyFont="1" applyFill="1" applyBorder="1" applyAlignment="1" applyProtection="1">
      <alignment horizontal="left" vertical="top"/>
      <protection locked="0"/>
    </xf>
    <xf numFmtId="0" fontId="18" fillId="9" borderId="43" xfId="0" applyFont="1" applyFill="1" applyBorder="1" applyAlignment="1" applyProtection="1">
      <alignment horizontal="center" vertical="center" wrapText="1"/>
    </xf>
    <xf numFmtId="0" fontId="18" fillId="9" borderId="12" xfId="0" applyFont="1" applyFill="1" applyBorder="1" applyAlignment="1" applyProtection="1">
      <alignment horizontal="center" vertical="center" wrapText="1"/>
    </xf>
    <xf numFmtId="0" fontId="18" fillId="9" borderId="50" xfId="0" applyFont="1" applyFill="1" applyBorder="1" applyAlignment="1" applyProtection="1">
      <alignment horizontal="center" vertical="center" wrapText="1"/>
    </xf>
    <xf numFmtId="0" fontId="18" fillId="9" borderId="48" xfId="0" applyFont="1" applyFill="1" applyBorder="1" applyAlignment="1" applyProtection="1">
      <alignment horizontal="center" vertical="center" wrapText="1"/>
    </xf>
    <xf numFmtId="0" fontId="27" fillId="0" borderId="2" xfId="0" applyFont="1" applyBorder="1" applyAlignment="1" applyProtection="1">
      <alignment horizontal="center" vertical="center"/>
    </xf>
    <xf numFmtId="166" fontId="27" fillId="0" borderId="14" xfId="0" applyNumberFormat="1" applyFont="1" applyBorder="1" applyAlignment="1" applyProtection="1">
      <alignment horizontal="center" vertical="center"/>
      <protection locked="0"/>
    </xf>
    <xf numFmtId="166" fontId="27" fillId="0" borderId="15" xfId="0" applyNumberFormat="1" applyFont="1" applyBorder="1" applyAlignment="1" applyProtection="1">
      <alignment horizontal="center" vertical="center"/>
      <protection locked="0"/>
    </xf>
    <xf numFmtId="166" fontId="27" fillId="0" borderId="19" xfId="0" applyNumberFormat="1" applyFont="1" applyBorder="1" applyAlignment="1" applyProtection="1">
      <alignment horizontal="center" vertical="center"/>
      <protection locked="0"/>
    </xf>
    <xf numFmtId="0" fontId="34" fillId="3" borderId="14" xfId="0" applyFont="1" applyFill="1" applyBorder="1" applyAlignment="1" applyProtection="1">
      <alignment horizontal="left" vertical="center" wrapText="1"/>
      <protection locked="0"/>
    </xf>
    <xf numFmtId="0" fontId="34" fillId="3" borderId="1" xfId="0" applyFont="1" applyFill="1" applyBorder="1" applyAlignment="1" applyProtection="1">
      <alignment horizontal="left" vertical="center" wrapText="1"/>
      <protection locked="0"/>
    </xf>
    <xf numFmtId="0" fontId="34" fillId="3" borderId="15" xfId="0" applyFont="1" applyFill="1" applyBorder="1" applyAlignment="1" applyProtection="1">
      <alignment horizontal="left" vertical="center" wrapText="1"/>
      <protection locked="0"/>
    </xf>
    <xf numFmtId="0" fontId="35" fillId="3" borderId="2" xfId="0" applyFont="1" applyFill="1" applyBorder="1" applyAlignment="1" applyProtection="1">
      <alignment horizontal="center" vertical="center"/>
      <protection locked="0"/>
    </xf>
    <xf numFmtId="0" fontId="69" fillId="3" borderId="2" xfId="0" applyFont="1" applyFill="1" applyBorder="1" applyAlignment="1" applyProtection="1">
      <alignment horizontal="center" vertical="center"/>
      <protection locked="0"/>
    </xf>
    <xf numFmtId="0" fontId="27" fillId="0" borderId="2" xfId="0" applyFont="1" applyBorder="1" applyAlignment="1" applyProtection="1">
      <alignment horizontal="center" vertical="center" wrapText="1"/>
    </xf>
    <xf numFmtId="170" fontId="27" fillId="3" borderId="13" xfId="0" quotePrefix="1" applyNumberFormat="1" applyFont="1" applyFill="1" applyBorder="1" applyAlignment="1" applyProtection="1">
      <alignment horizontal="center" vertical="center" wrapText="1"/>
      <protection locked="0"/>
    </xf>
    <xf numFmtId="170" fontId="27" fillId="3" borderId="14" xfId="0" quotePrefix="1" applyNumberFormat="1" applyFont="1" applyFill="1" applyBorder="1" applyAlignment="1" applyProtection="1">
      <alignment horizontal="center" vertical="center" wrapText="1"/>
      <protection locked="0"/>
    </xf>
    <xf numFmtId="170" fontId="27" fillId="3" borderId="15" xfId="0" quotePrefix="1" applyNumberFormat="1" applyFont="1" applyFill="1" applyBorder="1" applyAlignment="1" applyProtection="1">
      <alignment horizontal="center" vertical="center" wrapText="1"/>
      <protection locked="0"/>
    </xf>
    <xf numFmtId="0" fontId="27" fillId="0" borderId="2" xfId="0" applyFont="1" applyBorder="1" applyAlignment="1" applyProtection="1">
      <alignment horizontal="center" vertical="center"/>
      <protection locked="0"/>
    </xf>
    <xf numFmtId="166" fontId="27" fillId="3" borderId="14" xfId="0" applyNumberFormat="1" applyFont="1" applyFill="1" applyBorder="1" applyAlignment="1" applyProtection="1">
      <alignment horizontal="center" vertical="center"/>
      <protection locked="0"/>
    </xf>
    <xf numFmtId="0" fontId="23" fillId="0" borderId="2" xfId="0" applyFont="1" applyBorder="1" applyAlignment="1" applyProtection="1">
      <alignment horizontal="center" vertical="center" wrapText="1"/>
    </xf>
    <xf numFmtId="0" fontId="34" fillId="3" borderId="2" xfId="0" applyFont="1" applyFill="1" applyBorder="1" applyAlignment="1" applyProtection="1">
      <alignment horizontal="left" vertical="center"/>
      <protection locked="0"/>
    </xf>
    <xf numFmtId="0" fontId="34" fillId="3" borderId="14" xfId="0" applyFont="1" applyFill="1" applyBorder="1" applyAlignment="1" applyProtection="1">
      <alignment horizontal="left" vertical="center"/>
      <protection locked="0"/>
    </xf>
    <xf numFmtId="0" fontId="34" fillId="3" borderId="1" xfId="0" applyFont="1" applyFill="1" applyBorder="1" applyAlignment="1" applyProtection="1">
      <alignment horizontal="left" vertical="center"/>
      <protection locked="0"/>
    </xf>
    <xf numFmtId="0" fontId="34" fillId="3" borderId="15" xfId="0" applyFont="1" applyFill="1" applyBorder="1" applyAlignment="1" applyProtection="1">
      <alignment horizontal="left" vertical="center"/>
      <protection locked="0"/>
    </xf>
    <xf numFmtId="0" fontId="18" fillId="0" borderId="14" xfId="0" applyFont="1" applyBorder="1" applyAlignment="1" applyProtection="1">
      <alignment horizontal="center" vertical="center"/>
      <protection locked="0"/>
    </xf>
    <xf numFmtId="0" fontId="18" fillId="0" borderId="15" xfId="0" applyFont="1" applyBorder="1" applyAlignment="1" applyProtection="1">
      <alignment horizontal="center" vertical="center"/>
      <protection locked="0"/>
    </xf>
    <xf numFmtId="0" fontId="34" fillId="0" borderId="14" xfId="0" applyFont="1" applyBorder="1" applyAlignment="1" applyProtection="1">
      <alignment horizontal="center" vertical="center"/>
      <protection locked="0"/>
    </xf>
    <xf numFmtId="0" fontId="34" fillId="0" borderId="1" xfId="0" applyFont="1" applyBorder="1" applyAlignment="1" applyProtection="1">
      <alignment horizontal="center" vertical="center"/>
      <protection locked="0"/>
    </xf>
    <xf numFmtId="0" fontId="34" fillId="0" borderId="15" xfId="0" applyFont="1" applyBorder="1" applyAlignment="1" applyProtection="1">
      <alignment horizontal="center" vertical="center"/>
      <protection locked="0"/>
    </xf>
    <xf numFmtId="0" fontId="13" fillId="3" borderId="22" xfId="0" applyFont="1" applyFill="1" applyBorder="1" applyAlignment="1" applyProtection="1">
      <alignment horizontal="center"/>
    </xf>
    <xf numFmtId="0" fontId="13" fillId="3" borderId="12" xfId="0" applyFont="1" applyFill="1" applyBorder="1" applyAlignment="1" applyProtection="1">
      <alignment horizontal="center"/>
    </xf>
    <xf numFmtId="0" fontId="25" fillId="9" borderId="2" xfId="0" applyFont="1" applyFill="1" applyBorder="1" applyAlignment="1" applyProtection="1">
      <alignment horizontal="center" vertical="center" wrapText="1"/>
    </xf>
    <xf numFmtId="0" fontId="23" fillId="9" borderId="2" xfId="0" applyFont="1" applyFill="1" applyBorder="1" applyAlignment="1" applyProtection="1">
      <alignment horizontal="center" vertical="center" wrapText="1"/>
    </xf>
    <xf numFmtId="0" fontId="18" fillId="0" borderId="2" xfId="0" applyFont="1" applyBorder="1" applyAlignment="1" applyProtection="1">
      <alignment horizontal="center" vertical="center"/>
      <protection locked="0"/>
    </xf>
    <xf numFmtId="0" fontId="27" fillId="0" borderId="14" xfId="0" applyFont="1" applyBorder="1" applyAlignment="1" applyProtection="1">
      <alignment horizontal="center" vertical="center"/>
      <protection locked="0"/>
    </xf>
    <xf numFmtId="0" fontId="27" fillId="0" borderId="1" xfId="0" applyFont="1" applyBorder="1" applyAlignment="1" applyProtection="1">
      <alignment horizontal="center" vertical="center"/>
      <protection locked="0"/>
    </xf>
    <xf numFmtId="0" fontId="27" fillId="0" borderId="15" xfId="0" applyFont="1" applyBorder="1" applyAlignment="1" applyProtection="1">
      <alignment horizontal="center" vertical="center"/>
      <protection locked="0"/>
    </xf>
    <xf numFmtId="0" fontId="18" fillId="0" borderId="2" xfId="0" applyFont="1" applyBorder="1" applyAlignment="1" applyProtection="1">
      <alignment horizontal="left" vertical="center"/>
      <protection locked="0"/>
    </xf>
    <xf numFmtId="0" fontId="34" fillId="3" borderId="14" xfId="0" applyFont="1" applyFill="1" applyBorder="1" applyAlignment="1" applyProtection="1">
      <alignment horizontal="center" vertical="center"/>
      <protection locked="0"/>
    </xf>
    <xf numFmtId="0" fontId="34" fillId="3" borderId="1" xfId="0" applyFont="1" applyFill="1" applyBorder="1" applyAlignment="1" applyProtection="1">
      <alignment horizontal="center" vertical="center"/>
      <protection locked="0"/>
    </xf>
    <xf numFmtId="0" fontId="34" fillId="3" borderId="15" xfId="0" applyFont="1" applyFill="1" applyBorder="1" applyAlignment="1" applyProtection="1">
      <alignment horizontal="center" vertical="center"/>
      <protection locked="0"/>
    </xf>
    <xf numFmtId="0" fontId="23" fillId="9" borderId="23" xfId="0" applyFont="1" applyFill="1" applyBorder="1" applyAlignment="1" applyProtection="1">
      <alignment horizontal="center" vertical="center"/>
    </xf>
    <xf numFmtId="0" fontId="23" fillId="9" borderId="2" xfId="0" applyFont="1" applyFill="1" applyBorder="1" applyAlignment="1" applyProtection="1">
      <alignment horizontal="center" vertical="center"/>
    </xf>
    <xf numFmtId="0" fontId="69" fillId="3" borderId="14" xfId="0" applyFont="1" applyFill="1" applyBorder="1" applyAlignment="1" applyProtection="1">
      <alignment horizontal="center" vertical="center"/>
      <protection locked="0"/>
    </xf>
    <xf numFmtId="0" fontId="69" fillId="3" borderId="1" xfId="0" applyFont="1" applyFill="1" applyBorder="1" applyAlignment="1" applyProtection="1">
      <alignment horizontal="center" vertical="center"/>
      <protection locked="0"/>
    </xf>
    <xf numFmtId="0" fontId="69" fillId="3" borderId="15" xfId="0" applyFont="1" applyFill="1" applyBorder="1" applyAlignment="1" applyProtection="1">
      <alignment horizontal="center" vertical="center"/>
      <protection locked="0"/>
    </xf>
    <xf numFmtId="0" fontId="27" fillId="3" borderId="1" xfId="0" applyFont="1" applyFill="1" applyBorder="1" applyAlignment="1" applyProtection="1">
      <alignment horizontal="center" vertical="center"/>
      <protection locked="0"/>
    </xf>
    <xf numFmtId="0" fontId="30" fillId="0" borderId="0" xfId="0" applyFont="1" applyBorder="1"/>
    <xf numFmtId="0" fontId="27" fillId="0" borderId="5" xfId="0" applyFont="1" applyBorder="1" applyProtection="1"/>
    <xf numFmtId="0" fontId="27" fillId="0" borderId="7" xfId="0" applyFont="1" applyBorder="1" applyAlignment="1" applyProtection="1">
      <alignment horizontal="center" vertical="center"/>
    </xf>
    <xf numFmtId="0" fontId="27" fillId="0" borderId="3" xfId="0" applyFont="1" applyBorder="1" applyProtection="1"/>
    <xf numFmtId="0" fontId="27" fillId="0" borderId="2" xfId="0" applyFont="1" applyBorder="1" applyProtection="1"/>
    <xf numFmtId="0" fontId="28" fillId="0" borderId="8" xfId="0" applyFont="1" applyBorder="1" applyAlignment="1" applyProtection="1">
      <alignment horizontal="center" vertical="center"/>
      <protection locked="0"/>
    </xf>
    <xf numFmtId="0" fontId="28" fillId="0" borderId="0" xfId="0" applyFont="1" applyBorder="1" applyAlignment="1" applyProtection="1">
      <alignment horizontal="center" vertical="center"/>
      <protection locked="0"/>
    </xf>
    <xf numFmtId="0" fontId="27" fillId="0" borderId="7" xfId="0" applyFont="1" applyBorder="1" applyAlignment="1" applyProtection="1">
      <alignment horizontal="left" vertical="center"/>
    </xf>
    <xf numFmtId="0" fontId="27" fillId="0" borderId="14" xfId="0" applyFont="1" applyBorder="1" applyAlignment="1" applyProtection="1">
      <alignment horizontal="left"/>
    </xf>
    <xf numFmtId="0" fontId="27" fillId="0" borderId="1" xfId="0" applyFont="1" applyBorder="1" applyAlignment="1" applyProtection="1">
      <alignment horizontal="left"/>
    </xf>
    <xf numFmtId="0" fontId="27" fillId="0" borderId="15" xfId="0" applyFont="1" applyBorder="1" applyAlignment="1" applyProtection="1">
      <alignment horizontal="left"/>
    </xf>
    <xf numFmtId="1" fontId="45" fillId="3" borderId="7" xfId="0" applyNumberFormat="1" applyFont="1" applyFill="1" applyBorder="1" applyAlignment="1" applyProtection="1">
      <alignment horizontal="center" vertical="center"/>
      <protection locked="0"/>
    </xf>
    <xf numFmtId="1" fontId="45" fillId="3" borderId="30" xfId="0" applyNumberFormat="1" applyFont="1" applyFill="1" applyBorder="1" applyAlignment="1" applyProtection="1">
      <alignment horizontal="center" vertical="center"/>
      <protection locked="0"/>
    </xf>
    <xf numFmtId="0" fontId="31" fillId="3" borderId="2" xfId="0" applyFont="1" applyFill="1" applyBorder="1" applyAlignment="1" applyProtection="1">
      <alignment horizontal="center" vertical="center"/>
      <protection locked="0"/>
    </xf>
    <xf numFmtId="0" fontId="31" fillId="3" borderId="32" xfId="0" applyFont="1" applyFill="1" applyBorder="1" applyAlignment="1" applyProtection="1">
      <alignment horizontal="center" vertical="center"/>
      <protection locked="0"/>
    </xf>
    <xf numFmtId="0" fontId="35" fillId="3" borderId="32" xfId="0" applyFont="1" applyFill="1" applyBorder="1" applyAlignment="1" applyProtection="1">
      <alignment horizontal="center" vertical="center"/>
      <protection locked="0"/>
    </xf>
    <xf numFmtId="0" fontId="18" fillId="0" borderId="7" xfId="0" applyFont="1" applyBorder="1" applyAlignment="1" applyProtection="1">
      <alignment horizontal="center" vertical="center"/>
      <protection locked="0"/>
    </xf>
    <xf numFmtId="0" fontId="18" fillId="3" borderId="5" xfId="0" applyFont="1" applyFill="1" applyBorder="1" applyAlignment="1" applyProtection="1">
      <alignment horizontal="center" vertical="center"/>
      <protection locked="0"/>
    </xf>
    <xf numFmtId="0" fontId="18" fillId="3" borderId="38" xfId="0" applyFont="1" applyFill="1" applyBorder="1" applyAlignment="1" applyProtection="1">
      <alignment horizontal="center" vertical="center"/>
      <protection locked="0"/>
    </xf>
    <xf numFmtId="0" fontId="26" fillId="0" borderId="7" xfId="0" applyFont="1" applyBorder="1" applyAlignment="1" applyProtection="1">
      <alignment horizontal="left" vertical="center"/>
    </xf>
    <xf numFmtId="0" fontId="27" fillId="9" borderId="6" xfId="0" applyFont="1" applyFill="1" applyBorder="1" applyAlignment="1" applyProtection="1">
      <alignment horizontal="center" vertical="center"/>
    </xf>
    <xf numFmtId="0" fontId="27" fillId="9" borderId="7" xfId="0" applyFont="1" applyFill="1" applyBorder="1" applyAlignment="1" applyProtection="1">
      <alignment horizontal="center" vertical="center"/>
    </xf>
    <xf numFmtId="0" fontId="27" fillId="9" borderId="30" xfId="0" applyFont="1" applyFill="1" applyBorder="1" applyAlignment="1" applyProtection="1">
      <alignment horizontal="center" vertical="center"/>
    </xf>
    <xf numFmtId="0" fontId="25" fillId="0" borderId="2" xfId="0" applyFont="1" applyBorder="1" applyAlignment="1" applyProtection="1">
      <alignment horizontal="center" vertical="center" wrapText="1"/>
    </xf>
    <xf numFmtId="0" fontId="26" fillId="0" borderId="2" xfId="0" applyFont="1" applyBorder="1" applyAlignment="1" applyProtection="1">
      <alignment horizontal="left" vertical="center"/>
    </xf>
    <xf numFmtId="0" fontId="27" fillId="0" borderId="7" xfId="0" applyFont="1" applyBorder="1" applyProtection="1"/>
    <xf numFmtId="0" fontId="18" fillId="3" borderId="32" xfId="0" applyFont="1" applyFill="1" applyBorder="1" applyAlignment="1" applyProtection="1">
      <alignment horizontal="center" vertical="center"/>
      <protection locked="0"/>
    </xf>
    <xf numFmtId="0" fontId="26" fillId="0" borderId="2" xfId="0" applyFont="1" applyBorder="1" applyProtection="1"/>
    <xf numFmtId="0" fontId="35" fillId="3" borderId="7" xfId="0" applyFont="1" applyFill="1" applyBorder="1" applyAlignment="1" applyProtection="1">
      <alignment horizontal="center" vertical="center"/>
      <protection locked="0"/>
    </xf>
    <xf numFmtId="12" fontId="18" fillId="3" borderId="2" xfId="0" applyNumberFormat="1" applyFont="1" applyFill="1" applyBorder="1" applyAlignment="1" applyProtection="1">
      <alignment horizontal="center" vertical="center"/>
      <protection locked="0"/>
    </xf>
    <xf numFmtId="0" fontId="51" fillId="3" borderId="2" xfId="0" applyFont="1" applyFill="1" applyBorder="1" applyAlignment="1" applyProtection="1">
      <alignment horizontal="center" vertical="center"/>
      <protection locked="0"/>
    </xf>
    <xf numFmtId="0" fontId="27" fillId="0" borderId="6" xfId="0" applyFont="1" applyBorder="1" applyProtection="1"/>
    <xf numFmtId="0" fontId="18" fillId="3" borderId="7" xfId="0" applyFont="1" applyFill="1" applyBorder="1" applyAlignment="1" applyProtection="1">
      <alignment horizontal="center" vertical="center"/>
      <protection locked="0"/>
    </xf>
    <xf numFmtId="0" fontId="30" fillId="0" borderId="0" xfId="0" applyFont="1" applyBorder="1" applyAlignment="1">
      <alignment horizontal="center"/>
    </xf>
    <xf numFmtId="0" fontId="23" fillId="9" borderId="26" xfId="0" applyFont="1" applyFill="1" applyBorder="1" applyAlignment="1" applyProtection="1">
      <alignment horizontal="center" vertical="center"/>
    </xf>
    <xf numFmtId="0" fontId="23" fillId="9" borderId="10" xfId="0" applyFont="1" applyFill="1" applyBorder="1" applyAlignment="1" applyProtection="1">
      <alignment horizontal="center" vertical="center"/>
    </xf>
    <xf numFmtId="0" fontId="23" fillId="9" borderId="11" xfId="0" applyFont="1" applyFill="1" applyBorder="1" applyAlignment="1" applyProtection="1">
      <alignment horizontal="center" vertical="center"/>
    </xf>
    <xf numFmtId="0" fontId="25" fillId="9" borderId="80" xfId="0" applyFont="1" applyFill="1" applyBorder="1" applyAlignment="1" applyProtection="1">
      <alignment horizontal="center" vertical="center" wrapText="1"/>
    </xf>
    <xf numFmtId="0" fontId="25" fillId="9" borderId="0" xfId="0" applyFont="1" applyFill="1" applyBorder="1" applyAlignment="1" applyProtection="1">
      <alignment horizontal="center" vertical="center" wrapText="1"/>
    </xf>
    <xf numFmtId="0" fontId="25" fillId="9" borderId="78" xfId="0" applyFont="1" applyFill="1" applyBorder="1" applyAlignment="1" applyProtection="1">
      <alignment horizontal="center" vertical="center" wrapText="1"/>
    </xf>
    <xf numFmtId="0" fontId="25" fillId="9" borderId="26" xfId="0" applyFont="1" applyFill="1" applyBorder="1" applyAlignment="1" applyProtection="1">
      <alignment horizontal="center" vertical="center" wrapText="1"/>
    </xf>
    <xf numFmtId="0" fontId="25" fillId="9" borderId="10" xfId="0" applyFont="1" applyFill="1" applyBorder="1" applyAlignment="1" applyProtection="1">
      <alignment horizontal="center" vertical="center" wrapText="1"/>
    </xf>
    <xf numFmtId="0" fontId="25" fillId="9" borderId="11" xfId="0" applyFont="1" applyFill="1" applyBorder="1" applyAlignment="1" applyProtection="1">
      <alignment horizontal="center" vertical="center" wrapText="1"/>
    </xf>
    <xf numFmtId="0" fontId="27" fillId="9" borderId="54" xfId="0" applyFont="1" applyFill="1" applyBorder="1" applyAlignment="1" applyProtection="1">
      <alignment horizontal="center" vertical="center"/>
    </xf>
    <xf numFmtId="0" fontId="27" fillId="9" borderId="49" xfId="0" applyFont="1" applyFill="1" applyBorder="1" applyAlignment="1" applyProtection="1">
      <alignment horizontal="center" vertical="center"/>
    </xf>
    <xf numFmtId="0" fontId="27" fillId="9" borderId="55" xfId="0" applyFont="1" applyFill="1" applyBorder="1" applyAlignment="1" applyProtection="1">
      <alignment horizontal="center" vertical="center"/>
    </xf>
    <xf numFmtId="0" fontId="23" fillId="9" borderId="2" xfId="0" applyFont="1" applyFill="1" applyBorder="1" applyAlignment="1" applyProtection="1">
      <alignment horizontal="center"/>
    </xf>
    <xf numFmtId="0" fontId="27" fillId="9" borderId="21" xfId="0" applyFont="1" applyFill="1" applyBorder="1" applyAlignment="1" applyProtection="1">
      <alignment horizontal="center" vertical="center"/>
    </xf>
    <xf numFmtId="0" fontId="27" fillId="9" borderId="23" xfId="0" applyFont="1" applyFill="1" applyBorder="1" applyAlignment="1" applyProtection="1">
      <alignment horizontal="center" vertical="center"/>
    </xf>
    <xf numFmtId="0" fontId="27" fillId="9" borderId="41" xfId="0" applyFont="1" applyFill="1" applyBorder="1" applyAlignment="1" applyProtection="1">
      <alignment horizontal="center" vertical="center"/>
    </xf>
    <xf numFmtId="0" fontId="45" fillId="3" borderId="14" xfId="0" applyFont="1" applyFill="1" applyBorder="1" applyAlignment="1" applyProtection="1">
      <alignment horizontal="center" vertical="center"/>
      <protection locked="0"/>
    </xf>
    <xf numFmtId="0" fontId="45" fillId="3" borderId="15" xfId="0" applyFont="1" applyFill="1" applyBorder="1" applyAlignment="1" applyProtection="1">
      <alignment horizontal="center" vertical="center"/>
      <protection locked="0"/>
    </xf>
    <xf numFmtId="0" fontId="27" fillId="0" borderId="6" xfId="0" applyFont="1" applyBorder="1" applyAlignment="1" applyProtection="1">
      <alignment horizontal="left" vertical="center"/>
    </xf>
    <xf numFmtId="0" fontId="27" fillId="0" borderId="3" xfId="0" applyFont="1" applyBorder="1" applyAlignment="1" applyProtection="1">
      <alignment horizontal="left" vertical="center"/>
    </xf>
    <xf numFmtId="0" fontId="27" fillId="0" borderId="2" xfId="0" applyFont="1" applyBorder="1" applyAlignment="1" applyProtection="1">
      <alignment horizontal="left" vertical="center"/>
    </xf>
    <xf numFmtId="0" fontId="27" fillId="0" borderId="81" xfId="0" applyFont="1" applyBorder="1" applyAlignment="1" applyProtection="1">
      <alignment horizontal="left" vertical="top"/>
    </xf>
    <xf numFmtId="0" fontId="27" fillId="0" borderId="45" xfId="0" applyFont="1" applyBorder="1" applyAlignment="1" applyProtection="1">
      <alignment horizontal="left" vertical="top"/>
    </xf>
    <xf numFmtId="0" fontId="27" fillId="0" borderId="46" xfId="0" applyFont="1" applyBorder="1" applyAlignment="1" applyProtection="1">
      <alignment horizontal="left" vertical="top"/>
    </xf>
    <xf numFmtId="0" fontId="17" fillId="0" borderId="8" xfId="0" applyFont="1" applyBorder="1" applyAlignment="1" applyProtection="1">
      <alignment horizontal="center"/>
      <protection locked="0"/>
    </xf>
    <xf numFmtId="0" fontId="17" fillId="0" borderId="17" xfId="0" applyFont="1" applyBorder="1" applyAlignment="1" applyProtection="1">
      <alignment horizontal="center"/>
      <protection locked="0"/>
    </xf>
    <xf numFmtId="0" fontId="17" fillId="0" borderId="0" xfId="0" applyFont="1" applyBorder="1" applyAlignment="1" applyProtection="1">
      <alignment horizontal="center"/>
      <protection locked="0"/>
    </xf>
    <xf numFmtId="0" fontId="17" fillId="0" borderId="18" xfId="0" applyFont="1" applyBorder="1" applyAlignment="1" applyProtection="1">
      <alignment horizontal="center"/>
      <protection locked="0"/>
    </xf>
    <xf numFmtId="0" fontId="0" fillId="0" borderId="0" xfId="0" applyBorder="1"/>
    <xf numFmtId="0" fontId="17" fillId="0" borderId="16" xfId="0" applyFont="1" applyBorder="1" applyAlignment="1" applyProtection="1">
      <alignment horizontal="center"/>
      <protection locked="0"/>
    </xf>
    <xf numFmtId="0" fontId="17" fillId="0" borderId="9" xfId="0" applyFont="1" applyBorder="1" applyAlignment="1" applyProtection="1">
      <alignment horizontal="center"/>
      <protection locked="0"/>
    </xf>
    <xf numFmtId="0" fontId="18" fillId="3" borderId="7" xfId="0" applyFont="1" applyFill="1" applyBorder="1" applyAlignment="1" applyProtection="1">
      <alignment horizontal="center" vertical="center" wrapText="1"/>
      <protection locked="0"/>
    </xf>
    <xf numFmtId="0" fontId="18" fillId="3" borderId="2" xfId="0" applyFont="1" applyFill="1" applyBorder="1" applyAlignment="1" applyProtection="1">
      <alignment horizontal="center" vertical="center" wrapText="1"/>
      <protection locked="0"/>
    </xf>
    <xf numFmtId="0" fontId="26" fillId="0" borderId="14" xfId="0" applyFont="1" applyBorder="1" applyAlignment="1" applyProtection="1">
      <alignment horizontal="left" vertical="center"/>
    </xf>
    <xf numFmtId="0" fontId="26" fillId="0" borderId="1" xfId="0" applyFont="1" applyBorder="1" applyAlignment="1" applyProtection="1">
      <alignment horizontal="left" vertical="center"/>
    </xf>
    <xf numFmtId="0" fontId="26" fillId="0" borderId="15" xfId="0" applyFont="1" applyBorder="1" applyAlignment="1" applyProtection="1">
      <alignment horizontal="left" vertical="center"/>
    </xf>
    <xf numFmtId="0" fontId="18" fillId="0" borderId="2" xfId="0" applyFont="1" applyBorder="1" applyAlignment="1" applyProtection="1">
      <alignment horizontal="center" vertical="center" wrapText="1"/>
      <protection locked="0"/>
    </xf>
    <xf numFmtId="0" fontId="18" fillId="0" borderId="32" xfId="0" applyFont="1" applyBorder="1" applyAlignment="1" applyProtection="1">
      <alignment horizontal="center" vertical="center" wrapText="1"/>
      <protection locked="0"/>
    </xf>
    <xf numFmtId="165" fontId="18" fillId="0" borderId="2" xfId="0" applyNumberFormat="1" applyFont="1" applyBorder="1" applyAlignment="1" applyProtection="1">
      <alignment horizontal="center" vertical="center" wrapText="1"/>
    </xf>
    <xf numFmtId="0" fontId="25" fillId="0" borderId="2" xfId="0" applyFont="1" applyFill="1" applyBorder="1" applyAlignment="1" applyProtection="1">
      <alignment horizontal="center" vertical="center" wrapText="1"/>
    </xf>
    <xf numFmtId="0" fontId="25" fillId="0" borderId="32" xfId="0" applyFont="1" applyFill="1" applyBorder="1" applyAlignment="1" applyProtection="1">
      <alignment horizontal="center" vertical="center" wrapText="1"/>
    </xf>
    <xf numFmtId="0" fontId="35" fillId="3" borderId="7" xfId="0" applyFont="1" applyFill="1" applyBorder="1" applyAlignment="1" applyProtection="1">
      <alignment horizontal="center" vertical="center" wrapText="1"/>
      <protection locked="0"/>
    </xf>
    <xf numFmtId="0" fontId="35" fillId="3" borderId="30" xfId="0" applyFont="1" applyFill="1" applyBorder="1" applyAlignment="1" applyProtection="1">
      <alignment horizontal="center" vertical="center" wrapText="1"/>
      <protection locked="0"/>
    </xf>
    <xf numFmtId="165" fontId="18" fillId="3" borderId="2" xfId="0" applyNumberFormat="1" applyFont="1" applyFill="1" applyBorder="1" applyAlignment="1" applyProtection="1">
      <alignment horizontal="center" vertical="center"/>
      <protection locked="0"/>
    </xf>
    <xf numFmtId="0" fontId="18" fillId="3" borderId="14" xfId="0" applyFont="1" applyFill="1" applyBorder="1" applyAlignment="1" applyProtection="1">
      <alignment horizontal="center" vertical="center" wrapText="1"/>
      <protection locked="0"/>
    </xf>
    <xf numFmtId="0" fontId="18" fillId="3" borderId="1" xfId="0" applyFont="1" applyFill="1" applyBorder="1" applyAlignment="1" applyProtection="1">
      <alignment horizontal="center" vertical="center" wrapText="1"/>
      <protection locked="0"/>
    </xf>
    <xf numFmtId="0" fontId="18" fillId="3" borderId="15" xfId="0" applyFont="1" applyFill="1" applyBorder="1" applyAlignment="1" applyProtection="1">
      <alignment horizontal="center" vertical="center" wrapText="1"/>
      <protection locked="0"/>
    </xf>
    <xf numFmtId="0" fontId="27" fillId="0" borderId="14" xfId="0" applyFont="1" applyBorder="1" applyAlignment="1" applyProtection="1">
      <alignment horizontal="left" vertical="center"/>
    </xf>
    <xf numFmtId="0" fontId="27" fillId="0" borderId="1" xfId="0" applyFont="1" applyBorder="1" applyAlignment="1" applyProtection="1">
      <alignment horizontal="left" vertical="center"/>
    </xf>
    <xf numFmtId="0" fontId="27" fillId="0" borderId="15" xfId="0" applyFont="1" applyBorder="1" applyAlignment="1" applyProtection="1">
      <alignment horizontal="left" vertical="center"/>
    </xf>
    <xf numFmtId="0" fontId="18" fillId="0" borderId="5" xfId="0" applyFont="1" applyFill="1" applyBorder="1" applyAlignment="1" applyProtection="1">
      <alignment horizontal="center" vertical="center"/>
      <protection locked="0"/>
    </xf>
    <xf numFmtId="0" fontId="23" fillId="9" borderId="23" xfId="0" applyFont="1" applyFill="1" applyBorder="1" applyAlignment="1" applyProtection="1">
      <alignment horizontal="center"/>
    </xf>
    <xf numFmtId="0" fontId="23" fillId="9" borderId="41" xfId="0" applyFont="1" applyFill="1" applyBorder="1" applyAlignment="1" applyProtection="1">
      <alignment horizontal="center"/>
    </xf>
    <xf numFmtId="0" fontId="18" fillId="3" borderId="5" xfId="0" applyFont="1" applyFill="1" applyBorder="1" applyAlignment="1" applyProtection="1">
      <alignment horizontal="center" vertical="center" wrapText="1"/>
      <protection locked="0"/>
    </xf>
    <xf numFmtId="0" fontId="18" fillId="3" borderId="44" xfId="0" applyFont="1" applyFill="1" applyBorder="1" applyAlignment="1" applyProtection="1">
      <alignment horizontal="center" vertical="center"/>
      <protection locked="0"/>
    </xf>
    <xf numFmtId="0" fontId="18" fillId="3" borderId="45" xfId="0" applyFont="1" applyFill="1" applyBorder="1" applyAlignment="1" applyProtection="1">
      <alignment horizontal="center" vertical="center"/>
      <protection locked="0"/>
    </xf>
    <xf numFmtId="0" fontId="18" fillId="3" borderId="57" xfId="0" applyFont="1" applyFill="1" applyBorder="1" applyAlignment="1" applyProtection="1">
      <alignment horizontal="center" vertical="center"/>
      <protection locked="0"/>
    </xf>
    <xf numFmtId="0" fontId="18" fillId="0" borderId="5" xfId="0" applyFont="1" applyBorder="1" applyAlignment="1" applyProtection="1">
      <alignment horizontal="center" vertical="center"/>
      <protection locked="0"/>
    </xf>
    <xf numFmtId="0" fontId="26" fillId="0" borderId="2" xfId="0" applyFont="1" applyBorder="1" applyAlignment="1" applyProtection="1">
      <alignment horizontal="center" vertical="center" wrapText="1"/>
    </xf>
    <xf numFmtId="0" fontId="27" fillId="0" borderId="4" xfId="0" applyFont="1" applyBorder="1" applyAlignment="1" applyProtection="1">
      <alignment horizontal="left" vertical="center"/>
    </xf>
    <xf numFmtId="0" fontId="27" fillId="0" borderId="5" xfId="0" applyFont="1" applyBorder="1" applyAlignment="1" applyProtection="1">
      <alignment horizontal="left" vertical="center"/>
    </xf>
    <xf numFmtId="166" fontId="34" fillId="3" borderId="14" xfId="0" applyNumberFormat="1" applyFont="1" applyFill="1" applyBorder="1" applyAlignment="1" applyProtection="1">
      <alignment horizontal="center" vertical="center"/>
      <protection locked="0"/>
    </xf>
    <xf numFmtId="166" fontId="34" fillId="3" borderId="15" xfId="0" applyNumberFormat="1" applyFont="1" applyFill="1" applyBorder="1" applyAlignment="1" applyProtection="1">
      <alignment horizontal="center" vertical="center"/>
      <protection locked="0"/>
    </xf>
    <xf numFmtId="0" fontId="34" fillId="3" borderId="39" xfId="0" applyFont="1" applyFill="1" applyBorder="1" applyAlignment="1" applyProtection="1">
      <alignment horizontal="left" vertical="center" wrapText="1"/>
      <protection locked="0"/>
    </xf>
    <xf numFmtId="0" fontId="18" fillId="0" borderId="38" xfId="0" applyFont="1" applyFill="1" applyBorder="1" applyAlignment="1" applyProtection="1">
      <alignment horizontal="center" vertical="center"/>
      <protection locked="0"/>
    </xf>
    <xf numFmtId="0" fontId="51" fillId="3" borderId="5" xfId="0" applyFont="1" applyFill="1" applyBorder="1" applyAlignment="1" applyProtection="1">
      <alignment horizontal="center" vertical="center"/>
      <protection locked="0"/>
    </xf>
    <xf numFmtId="0" fontId="23" fillId="9" borderId="23" xfId="0" applyFont="1" applyFill="1" applyBorder="1" applyAlignment="1" applyProtection="1">
      <alignment horizontal="center" vertical="center" wrapText="1"/>
    </xf>
    <xf numFmtId="0" fontId="34" fillId="0" borderId="43" xfId="0" applyFont="1" applyFill="1" applyBorder="1" applyAlignment="1" applyProtection="1">
      <alignment horizontal="left" vertical="top" wrapText="1"/>
      <protection locked="0"/>
    </xf>
    <xf numFmtId="0" fontId="34" fillId="0" borderId="12" xfId="0" applyFont="1" applyFill="1" applyBorder="1" applyAlignment="1" applyProtection="1">
      <alignment horizontal="left" vertical="top" wrapText="1"/>
      <protection locked="0"/>
    </xf>
    <xf numFmtId="0" fontId="34" fillId="0" borderId="24" xfId="0" applyFont="1" applyFill="1" applyBorder="1" applyAlignment="1" applyProtection="1">
      <alignment horizontal="left" vertical="top" wrapText="1"/>
      <protection locked="0"/>
    </xf>
    <xf numFmtId="0" fontId="34" fillId="0" borderId="50" xfId="0" applyFont="1" applyFill="1" applyBorder="1" applyAlignment="1" applyProtection="1">
      <alignment horizontal="left" vertical="top" wrapText="1"/>
      <protection locked="0"/>
    </xf>
    <xf numFmtId="0" fontId="34" fillId="0" borderId="48" xfId="0" applyFont="1" applyFill="1" applyBorder="1" applyAlignment="1" applyProtection="1">
      <alignment horizontal="left" vertical="top" wrapText="1"/>
      <protection locked="0"/>
    </xf>
    <xf numFmtId="0" fontId="34" fillId="0" borderId="51" xfId="0" applyFont="1" applyFill="1" applyBorder="1" applyAlignment="1" applyProtection="1">
      <alignment horizontal="left" vertical="top" wrapText="1"/>
      <protection locked="0"/>
    </xf>
    <xf numFmtId="0" fontId="34" fillId="0" borderId="43" xfId="0" applyFont="1" applyFill="1" applyBorder="1" applyAlignment="1" applyProtection="1">
      <alignment horizontal="left" vertical="top"/>
      <protection locked="0"/>
    </xf>
    <xf numFmtId="0" fontId="34" fillId="0" borderId="12" xfId="0" applyFont="1" applyFill="1" applyBorder="1" applyAlignment="1" applyProtection="1">
      <alignment horizontal="left" vertical="top"/>
      <protection locked="0"/>
    </xf>
    <xf numFmtId="0" fontId="34" fillId="0" borderId="24" xfId="0" applyFont="1" applyFill="1" applyBorder="1" applyAlignment="1" applyProtection="1">
      <alignment horizontal="left" vertical="top"/>
      <protection locked="0"/>
    </xf>
    <xf numFmtId="0" fontId="34" fillId="0" borderId="62" xfId="0" applyFont="1" applyFill="1" applyBorder="1" applyAlignment="1" applyProtection="1">
      <alignment horizontal="left" vertical="top"/>
      <protection locked="0"/>
    </xf>
    <xf numFmtId="0" fontId="34" fillId="0" borderId="63" xfId="0" applyFont="1" applyFill="1" applyBorder="1" applyAlignment="1" applyProtection="1">
      <alignment horizontal="left" vertical="top"/>
      <protection locked="0"/>
    </xf>
    <xf numFmtId="0" fontId="34" fillId="0" borderId="64" xfId="0" applyFont="1" applyFill="1" applyBorder="1" applyAlignment="1" applyProtection="1">
      <alignment horizontal="left" vertical="top"/>
      <protection locked="0"/>
    </xf>
    <xf numFmtId="0" fontId="23" fillId="9" borderId="21" xfId="0" applyFont="1" applyFill="1" applyBorder="1" applyAlignment="1" applyProtection="1">
      <alignment horizontal="center" vertical="center"/>
    </xf>
    <xf numFmtId="0" fontId="23" fillId="9" borderId="3" xfId="0" applyFont="1" applyFill="1" applyBorder="1" applyAlignment="1" applyProtection="1">
      <alignment horizontal="center" vertical="center"/>
    </xf>
    <xf numFmtId="0" fontId="35" fillId="3" borderId="2" xfId="0" applyFont="1" applyFill="1" applyBorder="1" applyAlignment="1" applyProtection="1">
      <alignment horizontal="center" vertical="center" wrapText="1"/>
      <protection locked="0"/>
    </xf>
    <xf numFmtId="0" fontId="35" fillId="3" borderId="32" xfId="0" applyFont="1" applyFill="1" applyBorder="1" applyAlignment="1" applyProtection="1">
      <alignment horizontal="center" vertical="center" wrapText="1"/>
      <protection locked="0"/>
    </xf>
    <xf numFmtId="0" fontId="36" fillId="0" borderId="2" xfId="0" applyFont="1" applyBorder="1" applyAlignment="1" applyProtection="1">
      <alignment horizontal="center" vertical="center" wrapText="1"/>
    </xf>
    <xf numFmtId="0" fontId="35" fillId="0" borderId="23" xfId="0" applyFont="1" applyFill="1" applyBorder="1" applyAlignment="1" applyProtection="1">
      <alignment horizontal="center" vertical="center" wrapText="1"/>
      <protection locked="0"/>
    </xf>
    <xf numFmtId="0" fontId="35" fillId="0" borderId="2" xfId="0" applyFont="1" applyFill="1" applyBorder="1" applyAlignment="1" applyProtection="1">
      <alignment horizontal="center" vertical="center" wrapText="1"/>
      <protection locked="0"/>
    </xf>
    <xf numFmtId="0" fontId="18" fillId="0" borderId="2" xfId="0" applyFont="1" applyFill="1" applyBorder="1" applyAlignment="1" applyProtection="1">
      <alignment horizontal="center" vertical="center" wrapText="1"/>
      <protection locked="0"/>
    </xf>
    <xf numFmtId="0" fontId="27" fillId="0" borderId="44" xfId="0" applyFont="1" applyBorder="1" applyAlignment="1" applyProtection="1">
      <alignment horizontal="left" vertical="top" wrapText="1"/>
      <protection locked="0"/>
    </xf>
    <xf numFmtId="0" fontId="27" fillId="0" borderId="45" xfId="0" applyFont="1" applyBorder="1" applyAlignment="1" applyProtection="1">
      <alignment horizontal="left" vertical="top" wrapText="1"/>
      <protection locked="0"/>
    </xf>
    <xf numFmtId="0" fontId="27" fillId="0" borderId="46" xfId="0" applyFont="1" applyBorder="1" applyAlignment="1" applyProtection="1">
      <alignment horizontal="left" vertical="top" wrapText="1"/>
      <protection locked="0"/>
    </xf>
    <xf numFmtId="0" fontId="27" fillId="0" borderId="19" xfId="0" applyFont="1" applyBorder="1" applyAlignment="1" applyProtection="1">
      <alignment horizontal="left" vertical="center"/>
    </xf>
    <xf numFmtId="170" fontId="27" fillId="3" borderId="1" xfId="0" quotePrefix="1" applyNumberFormat="1" applyFont="1" applyFill="1" applyBorder="1" applyAlignment="1" applyProtection="1">
      <alignment horizontal="center" vertical="center" wrapText="1"/>
      <protection locked="0"/>
    </xf>
    <xf numFmtId="0" fontId="27" fillId="0" borderId="14" xfId="0" applyFont="1" applyBorder="1" applyAlignment="1" applyProtection="1">
      <alignment horizontal="center" vertical="center"/>
    </xf>
    <xf numFmtId="0" fontId="27" fillId="0" borderId="15" xfId="0" applyFont="1" applyBorder="1" applyAlignment="1" applyProtection="1">
      <alignment horizontal="center" vertical="center"/>
    </xf>
    <xf numFmtId="0" fontId="27" fillId="0" borderId="14" xfId="0" applyFont="1" applyBorder="1" applyAlignment="1" applyProtection="1">
      <alignment vertical="center"/>
    </xf>
    <xf numFmtId="0" fontId="27" fillId="0" borderId="1" xfId="0" applyFont="1" applyBorder="1" applyAlignment="1" applyProtection="1">
      <alignment vertical="center"/>
    </xf>
    <xf numFmtId="0" fontId="27" fillId="0" borderId="15" xfId="0" applyFont="1" applyBorder="1" applyAlignment="1" applyProtection="1">
      <alignment vertical="center"/>
    </xf>
    <xf numFmtId="166" fontId="27" fillId="3" borderId="14" xfId="0" quotePrefix="1" applyNumberFormat="1" applyFont="1" applyFill="1" applyBorder="1" applyAlignment="1" applyProtection="1">
      <alignment horizontal="center" vertical="center"/>
      <protection locked="0"/>
    </xf>
    <xf numFmtId="0" fontId="16" fillId="0" borderId="0" xfId="0" applyFont="1" applyFill="1" applyBorder="1"/>
    <xf numFmtId="0" fontId="18" fillId="3" borderId="2" xfId="0" applyNumberFormat="1" applyFont="1" applyFill="1" applyBorder="1" applyAlignment="1" applyProtection="1">
      <alignment horizontal="center" vertical="center"/>
      <protection locked="0"/>
    </xf>
    <xf numFmtId="0" fontId="42" fillId="3" borderId="19" xfId="0" applyFont="1" applyFill="1" applyBorder="1" applyAlignment="1" applyProtection="1">
      <alignment horizontal="left" vertical="center"/>
      <protection locked="0"/>
    </xf>
    <xf numFmtId="0" fontId="42" fillId="3" borderId="1" xfId="0" applyFont="1" applyFill="1" applyBorder="1" applyAlignment="1" applyProtection="1">
      <alignment horizontal="left" vertical="center"/>
      <protection locked="0"/>
    </xf>
    <xf numFmtId="0" fontId="42" fillId="3" borderId="25" xfId="0" applyFont="1" applyFill="1" applyBorder="1" applyAlignment="1" applyProtection="1">
      <alignment horizontal="left" vertical="center"/>
      <protection locked="0"/>
    </xf>
    <xf numFmtId="0" fontId="19" fillId="9" borderId="52" xfId="0" applyFont="1" applyFill="1" applyBorder="1" applyAlignment="1" applyProtection="1">
      <alignment horizontal="center" vertical="center"/>
    </xf>
    <xf numFmtId="0" fontId="19" fillId="9" borderId="47" xfId="0" applyFont="1" applyFill="1" applyBorder="1" applyAlignment="1" applyProtection="1">
      <alignment horizontal="center" vertical="center"/>
    </xf>
    <xf numFmtId="0" fontId="19" fillId="9" borderId="53" xfId="0" applyFont="1" applyFill="1" applyBorder="1" applyAlignment="1" applyProtection="1">
      <alignment horizontal="center" vertical="center"/>
    </xf>
    <xf numFmtId="165" fontId="22" fillId="0" borderId="40" xfId="0" applyNumberFormat="1" applyFont="1" applyBorder="1" applyAlignment="1" applyProtection="1">
      <alignment horizontal="center" vertical="center"/>
    </xf>
    <xf numFmtId="165" fontId="22" fillId="0" borderId="41" xfId="0" applyNumberFormat="1" applyFont="1" applyBorder="1" applyAlignment="1" applyProtection="1">
      <alignment horizontal="center" vertical="center"/>
    </xf>
    <xf numFmtId="0" fontId="25" fillId="9" borderId="2" xfId="0" applyFont="1" applyFill="1" applyBorder="1" applyAlignment="1" applyProtection="1">
      <alignment horizontal="center" vertical="center"/>
    </xf>
    <xf numFmtId="0" fontId="26" fillId="9" borderId="2" xfId="0" applyFont="1" applyFill="1" applyBorder="1" applyAlignment="1" applyProtection="1">
      <alignment horizontal="center" vertical="center"/>
    </xf>
    <xf numFmtId="0" fontId="22" fillId="0" borderId="22" xfId="0" applyFont="1" applyBorder="1" applyAlignment="1" applyProtection="1">
      <alignment horizontal="center" vertical="center"/>
    </xf>
    <xf numFmtId="0" fontId="22" fillId="0" borderId="12" xfId="0" applyFont="1" applyBorder="1" applyAlignment="1" applyProtection="1">
      <alignment horizontal="center" vertical="center"/>
    </xf>
    <xf numFmtId="0" fontId="22" fillId="0" borderId="13" xfId="0" applyFont="1" applyBorder="1" applyAlignment="1" applyProtection="1">
      <alignment horizontal="center" vertical="center"/>
    </xf>
    <xf numFmtId="0" fontId="22" fillId="0" borderId="26" xfId="0" applyFont="1" applyBorder="1" applyAlignment="1" applyProtection="1">
      <alignment horizontal="center" vertical="center"/>
    </xf>
    <xf numFmtId="0" fontId="22" fillId="0" borderId="10" xfId="0" applyFont="1" applyBorder="1" applyAlignment="1" applyProtection="1">
      <alignment horizontal="center" vertical="center"/>
    </xf>
    <xf numFmtId="0" fontId="22" fillId="0" borderId="11" xfId="0" applyFont="1" applyBorder="1" applyAlignment="1" applyProtection="1">
      <alignment horizontal="center" vertical="center"/>
    </xf>
    <xf numFmtId="0" fontId="22" fillId="0" borderId="39" xfId="0" applyFont="1" applyBorder="1" applyAlignment="1" applyProtection="1">
      <alignment horizontal="center" vertical="center"/>
    </xf>
    <xf numFmtId="0" fontId="22" fillId="0" borderId="23" xfId="0" applyFont="1" applyBorder="1" applyAlignment="1" applyProtection="1">
      <alignment horizontal="center" vertical="center"/>
    </xf>
    <xf numFmtId="0" fontId="18" fillId="0" borderId="14" xfId="0" applyFont="1" applyBorder="1" applyAlignment="1" applyProtection="1">
      <alignment horizontal="center" vertical="center"/>
    </xf>
    <xf numFmtId="0" fontId="18" fillId="0" borderId="1" xfId="0" applyFont="1" applyBorder="1" applyAlignment="1" applyProtection="1">
      <alignment horizontal="center" vertical="center"/>
    </xf>
    <xf numFmtId="0" fontId="18" fillId="0" borderId="15" xfId="0" applyFont="1" applyBorder="1" applyAlignment="1" applyProtection="1">
      <alignment horizontal="center" vertical="center"/>
    </xf>
    <xf numFmtId="166" fontId="18" fillId="0" borderId="14" xfId="0" applyNumberFormat="1" applyFont="1" applyBorder="1" applyAlignment="1" applyProtection="1">
      <alignment horizontal="center" vertical="center"/>
      <protection locked="0"/>
    </xf>
    <xf numFmtId="166" fontId="18" fillId="0" borderId="15" xfId="0" applyNumberFormat="1" applyFont="1" applyBorder="1" applyAlignment="1" applyProtection="1">
      <alignment horizontal="center" vertical="center"/>
      <protection locked="0"/>
    </xf>
    <xf numFmtId="166" fontId="18" fillId="0" borderId="19" xfId="0" applyNumberFormat="1" applyFont="1" applyBorder="1" applyAlignment="1" applyProtection="1">
      <alignment horizontal="center" vertical="center"/>
      <protection locked="0"/>
    </xf>
    <xf numFmtId="0" fontId="39" fillId="3" borderId="0" xfId="0" applyFont="1" applyFill="1" applyBorder="1" applyAlignment="1" applyProtection="1">
      <alignment horizontal="center"/>
      <protection locked="0"/>
    </xf>
    <xf numFmtId="0" fontId="29" fillId="0" borderId="44" xfId="2" applyFont="1" applyFill="1" applyBorder="1" applyProtection="1">
      <protection locked="0"/>
    </xf>
    <xf numFmtId="0" fontId="29" fillId="0" borderId="46" xfId="2" applyFont="1" applyFill="1" applyBorder="1" applyProtection="1">
      <protection locked="0"/>
    </xf>
    <xf numFmtId="2" fontId="48" fillId="3" borderId="2" xfId="0" applyNumberFormat="1" applyFont="1" applyFill="1" applyBorder="1" applyAlignment="1" applyProtection="1">
      <alignment horizontal="center" vertical="center"/>
      <protection locked="0"/>
    </xf>
    <xf numFmtId="0" fontId="55" fillId="3" borderId="2" xfId="2" applyFont="1" applyFill="1" applyBorder="1" applyAlignment="1" applyProtection="1">
      <alignment horizontal="center" vertical="center"/>
      <protection locked="0"/>
    </xf>
    <xf numFmtId="0" fontId="44" fillId="2" borderId="16" xfId="2" applyFont="1" applyFill="1" applyBorder="1" applyAlignment="1" applyProtection="1">
      <alignment horizontal="center" vertical="center" wrapText="1"/>
      <protection locked="0"/>
    </xf>
    <xf numFmtId="0" fontId="44" fillId="2" borderId="8" xfId="2" applyFont="1" applyFill="1" applyBorder="1" applyAlignment="1" applyProtection="1">
      <alignment horizontal="center" vertical="center" wrapText="1"/>
      <protection locked="0"/>
    </xf>
    <xf numFmtId="0" fontId="44" fillId="2" borderId="0" xfId="2" applyFont="1" applyFill="1" applyBorder="1" applyAlignment="1" applyProtection="1">
      <alignment horizontal="center" vertical="center" wrapText="1"/>
      <protection locked="0"/>
    </xf>
    <xf numFmtId="0" fontId="44" fillId="2" borderId="18" xfId="2" applyFont="1" applyFill="1" applyBorder="1" applyAlignment="1" applyProtection="1">
      <alignment horizontal="center" vertical="center" wrapText="1"/>
      <protection locked="0"/>
    </xf>
    <xf numFmtId="0" fontId="55" fillId="0" borderId="44" xfId="2" applyFont="1" applyFill="1" applyBorder="1" applyProtection="1">
      <protection locked="0"/>
    </xf>
    <xf numFmtId="0" fontId="55" fillId="0" borderId="46" xfId="2" applyFont="1" applyFill="1" applyBorder="1" applyProtection="1">
      <protection locked="0"/>
    </xf>
    <xf numFmtId="2" fontId="55" fillId="3" borderId="2" xfId="2" applyNumberFormat="1" applyFont="1" applyFill="1" applyBorder="1" applyAlignment="1" applyProtection="1">
      <alignment horizontal="center" vertical="center"/>
      <protection locked="0"/>
    </xf>
    <xf numFmtId="2" fontId="55" fillId="3" borderId="32" xfId="2" applyNumberFormat="1" applyFont="1" applyFill="1" applyBorder="1" applyAlignment="1" applyProtection="1">
      <alignment horizontal="center" vertical="center"/>
      <protection locked="0"/>
    </xf>
    <xf numFmtId="0" fontId="29" fillId="0" borderId="14" xfId="2" applyFont="1" applyFill="1" applyBorder="1" applyProtection="1">
      <protection locked="0"/>
    </xf>
    <xf numFmtId="0" fontId="29" fillId="0" borderId="15" xfId="2" applyFont="1" applyFill="1" applyBorder="1" applyProtection="1">
      <protection locked="0"/>
    </xf>
    <xf numFmtId="0" fontId="55" fillId="10" borderId="14" xfId="2" applyFont="1" applyFill="1" applyBorder="1" applyAlignment="1" applyProtection="1">
      <alignment horizontal="center" vertical="center"/>
      <protection locked="0"/>
    </xf>
    <xf numFmtId="0" fontId="55" fillId="10" borderId="15" xfId="2" applyFont="1" applyFill="1" applyBorder="1" applyAlignment="1" applyProtection="1">
      <alignment horizontal="center" vertical="center"/>
      <protection locked="0"/>
    </xf>
    <xf numFmtId="0" fontId="29" fillId="0" borderId="25" xfId="2" applyFont="1" applyFill="1" applyBorder="1" applyProtection="1">
      <protection locked="0"/>
    </xf>
    <xf numFmtId="0" fontId="29" fillId="0" borderId="57" xfId="2" applyFont="1" applyFill="1" applyBorder="1" applyProtection="1">
      <protection locked="0"/>
    </xf>
    <xf numFmtId="0" fontId="55" fillId="0" borderId="14" xfId="2" applyFont="1" applyFill="1" applyBorder="1" applyProtection="1">
      <protection locked="0"/>
    </xf>
    <xf numFmtId="0" fontId="55" fillId="0" borderId="15" xfId="2" applyFont="1" applyFill="1" applyBorder="1" applyProtection="1">
      <protection locked="0"/>
    </xf>
    <xf numFmtId="0" fontId="55" fillId="0" borderId="1" xfId="2" applyFont="1" applyFill="1" applyBorder="1" applyProtection="1">
      <protection locked="0"/>
    </xf>
    <xf numFmtId="0" fontId="55" fillId="3" borderId="3" xfId="2" applyFont="1" applyFill="1" applyBorder="1" applyAlignment="1" applyProtection="1">
      <alignment horizontal="center" vertical="center"/>
      <protection locked="0"/>
    </xf>
    <xf numFmtId="49" fontId="40" fillId="3" borderId="2" xfId="0" applyNumberFormat="1" applyFont="1" applyFill="1" applyBorder="1" applyAlignment="1" applyProtection="1">
      <alignment horizontal="center" vertical="center"/>
      <protection locked="0"/>
    </xf>
    <xf numFmtId="0" fontId="55" fillId="3" borderId="5" xfId="2" applyFont="1" applyFill="1" applyBorder="1" applyAlignment="1" applyProtection="1">
      <alignment horizontal="center" vertical="center"/>
      <protection locked="0"/>
    </xf>
    <xf numFmtId="0" fontId="44" fillId="2" borderId="14" xfId="2" applyFont="1" applyFill="1" applyBorder="1" applyAlignment="1" applyProtection="1">
      <alignment horizontal="center" vertical="center" wrapText="1"/>
      <protection locked="0"/>
    </xf>
    <xf numFmtId="0" fontId="44" fillId="2" borderId="1" xfId="2" applyFont="1" applyFill="1" applyBorder="1" applyAlignment="1" applyProtection="1">
      <alignment horizontal="center" vertical="center" wrapText="1"/>
      <protection locked="0"/>
    </xf>
    <xf numFmtId="0" fontId="44" fillId="2" borderId="15" xfId="2" applyFont="1" applyFill="1" applyBorder="1" applyAlignment="1" applyProtection="1">
      <alignment horizontal="center" vertical="center" wrapText="1"/>
      <protection locked="0"/>
    </xf>
    <xf numFmtId="0" fontId="32" fillId="0" borderId="0" xfId="2" applyFont="1" applyFill="1" applyBorder="1" applyProtection="1">
      <protection locked="0"/>
    </xf>
    <xf numFmtId="0" fontId="44" fillId="3" borderId="44" xfId="2" applyFont="1" applyFill="1" applyBorder="1" applyAlignment="1" applyProtection="1">
      <alignment horizontal="center" vertical="center"/>
      <protection locked="0"/>
    </xf>
    <xf numFmtId="0" fontId="44" fillId="3" borderId="46" xfId="2" applyFont="1" applyFill="1" applyBorder="1" applyAlignment="1" applyProtection="1">
      <alignment horizontal="center" vertical="center"/>
      <protection locked="0"/>
    </xf>
    <xf numFmtId="0" fontId="39" fillId="3" borderId="0" xfId="2" applyFont="1" applyFill="1" applyBorder="1" applyAlignment="1" applyProtection="1">
      <alignment horizontal="center" vertical="center"/>
      <protection locked="0"/>
    </xf>
    <xf numFmtId="0" fontId="44" fillId="3" borderId="14" xfId="2" applyFont="1" applyFill="1" applyBorder="1" applyAlignment="1" applyProtection="1">
      <alignment horizontal="center" vertical="center"/>
      <protection locked="0"/>
    </xf>
    <xf numFmtId="0" fontId="44" fillId="3" borderId="15" xfId="2" applyFont="1" applyFill="1" applyBorder="1" applyAlignment="1" applyProtection="1">
      <alignment horizontal="center" vertical="center"/>
      <protection locked="0"/>
    </xf>
    <xf numFmtId="0" fontId="44" fillId="2" borderId="20" xfId="2" applyFont="1" applyFill="1" applyBorder="1" applyAlignment="1" applyProtection="1">
      <alignment horizontal="center" vertical="center"/>
      <protection locked="0"/>
    </xf>
    <xf numFmtId="0" fontId="44" fillId="2" borderId="21" xfId="2" applyFont="1" applyFill="1" applyBorder="1" applyAlignment="1" applyProtection="1">
      <alignment horizontal="center" vertical="center"/>
      <protection locked="0"/>
    </xf>
    <xf numFmtId="0" fontId="44" fillId="2" borderId="14" xfId="2" applyFont="1" applyFill="1" applyBorder="1" applyAlignment="1" applyProtection="1">
      <alignment horizontal="center" vertical="center"/>
      <protection locked="0"/>
    </xf>
    <xf numFmtId="0" fontId="44" fillId="2" borderId="1" xfId="2" applyFont="1" applyFill="1" applyBorder="1" applyAlignment="1" applyProtection="1">
      <alignment horizontal="center" vertical="center"/>
      <protection locked="0"/>
    </xf>
    <xf numFmtId="0" fontId="44" fillId="2" borderId="15" xfId="2" applyFont="1" applyFill="1" applyBorder="1" applyAlignment="1" applyProtection="1">
      <alignment horizontal="center" vertical="center"/>
      <protection locked="0"/>
    </xf>
    <xf numFmtId="0" fontId="44" fillId="2" borderId="25" xfId="2" applyFont="1" applyFill="1" applyBorder="1" applyAlignment="1" applyProtection="1">
      <alignment horizontal="center" vertical="center"/>
      <protection locked="0"/>
    </xf>
    <xf numFmtId="0" fontId="55" fillId="10" borderId="25" xfId="2" applyFont="1" applyFill="1" applyBorder="1" applyAlignment="1" applyProtection="1">
      <alignment horizontal="center" vertical="center"/>
      <protection locked="0"/>
    </xf>
    <xf numFmtId="165" fontId="66" fillId="2" borderId="2" xfId="2" applyNumberFormat="1" applyFont="1" applyFill="1" applyBorder="1" applyAlignment="1" applyProtection="1">
      <alignment horizontal="center" vertical="center"/>
    </xf>
    <xf numFmtId="49" fontId="55" fillId="3" borderId="2" xfId="0" applyNumberFormat="1" applyFont="1" applyFill="1" applyBorder="1" applyAlignment="1" applyProtection="1">
      <alignment horizontal="center" vertical="center"/>
      <protection locked="0"/>
    </xf>
    <xf numFmtId="0" fontId="57" fillId="3" borderId="14" xfId="2" applyFont="1" applyFill="1" applyBorder="1" applyAlignment="1" applyProtection="1">
      <alignment horizontal="center" vertical="center" wrapText="1"/>
      <protection locked="0"/>
    </xf>
    <xf numFmtId="0" fontId="57" fillId="3" borderId="15" xfId="2" applyFont="1" applyFill="1" applyBorder="1" applyAlignment="1" applyProtection="1">
      <alignment horizontal="center" vertical="center" wrapText="1"/>
      <protection locked="0"/>
    </xf>
    <xf numFmtId="0" fontId="57" fillId="3" borderId="14" xfId="2" applyFont="1" applyFill="1" applyBorder="1" applyAlignment="1" applyProtection="1">
      <alignment horizontal="center" vertical="center"/>
      <protection locked="0"/>
    </xf>
    <xf numFmtId="0" fontId="57" fillId="3" borderId="15" xfId="2" applyFont="1" applyFill="1" applyBorder="1" applyAlignment="1" applyProtection="1">
      <alignment horizontal="center" vertical="center"/>
      <protection locked="0"/>
    </xf>
    <xf numFmtId="49" fontId="40" fillId="3" borderId="5" xfId="0" applyNumberFormat="1" applyFont="1" applyFill="1" applyBorder="1" applyAlignment="1" applyProtection="1">
      <alignment horizontal="center" vertical="center"/>
      <protection locked="0"/>
    </xf>
    <xf numFmtId="0" fontId="44" fillId="2" borderId="6" xfId="2" applyFont="1" applyFill="1" applyBorder="1" applyAlignment="1" applyProtection="1">
      <alignment horizontal="center" vertical="center"/>
      <protection locked="0"/>
    </xf>
    <xf numFmtId="0" fontId="44" fillId="2" borderId="7" xfId="2" applyFont="1" applyFill="1" applyBorder="1" applyAlignment="1" applyProtection="1">
      <alignment horizontal="center" vertical="center"/>
      <protection locked="0"/>
    </xf>
    <xf numFmtId="0" fontId="55" fillId="3" borderId="4" xfId="2" applyFont="1" applyFill="1" applyBorder="1" applyAlignment="1" applyProtection="1">
      <alignment horizontal="left" vertical="center"/>
      <protection locked="0"/>
    </xf>
    <xf numFmtId="0" fontId="55" fillId="3" borderId="5" xfId="2" applyFont="1" applyFill="1" applyBorder="1" applyAlignment="1" applyProtection="1">
      <alignment horizontal="left" vertical="center"/>
      <protection locked="0"/>
    </xf>
    <xf numFmtId="0" fontId="66" fillId="2" borderId="14" xfId="2" applyFont="1" applyFill="1" applyBorder="1" applyAlignment="1" applyProtection="1">
      <alignment horizontal="center" vertical="center"/>
    </xf>
    <xf numFmtId="0" fontId="66" fillId="2" borderId="1" xfId="2" applyFont="1" applyFill="1" applyBorder="1" applyAlignment="1" applyProtection="1">
      <alignment horizontal="center" vertical="center"/>
    </xf>
    <xf numFmtId="0" fontId="66" fillId="2" borderId="25" xfId="2" applyFont="1" applyFill="1" applyBorder="1" applyAlignment="1" applyProtection="1">
      <alignment horizontal="center" vertical="center"/>
    </xf>
    <xf numFmtId="0" fontId="44" fillId="2" borderId="58" xfId="2" applyFont="1" applyFill="1" applyBorder="1" applyAlignment="1" applyProtection="1">
      <alignment horizontal="center" vertical="center"/>
      <protection locked="0"/>
    </xf>
    <xf numFmtId="0" fontId="44" fillId="2" borderId="59" xfId="2" applyFont="1" applyFill="1" applyBorder="1" applyAlignment="1" applyProtection="1">
      <alignment horizontal="center" vertical="center"/>
      <protection locked="0"/>
    </xf>
    <xf numFmtId="0" fontId="44" fillId="2" borderId="60" xfId="2" applyFont="1" applyFill="1" applyBorder="1" applyAlignment="1" applyProtection="1">
      <alignment horizontal="center" vertical="center"/>
      <protection locked="0"/>
    </xf>
    <xf numFmtId="0" fontId="55" fillId="0" borderId="45" xfId="2" applyFont="1" applyFill="1" applyBorder="1" applyProtection="1">
      <protection locked="0"/>
    </xf>
    <xf numFmtId="0" fontId="37" fillId="2" borderId="0" xfId="2" applyFont="1" applyFill="1" applyBorder="1" applyAlignment="1" applyProtection="1">
      <alignment horizontal="center" vertical="center"/>
      <protection locked="0"/>
    </xf>
    <xf numFmtId="0" fontId="40" fillId="2" borderId="16" xfId="2" applyFont="1" applyFill="1" applyBorder="1" applyAlignment="1" applyProtection="1">
      <alignment horizontal="center"/>
      <protection locked="0"/>
    </xf>
    <xf numFmtId="0" fontId="40" fillId="2" borderId="8" xfId="2" applyFont="1" applyFill="1" applyBorder="1" applyAlignment="1" applyProtection="1">
      <alignment horizontal="center"/>
      <protection locked="0"/>
    </xf>
    <xf numFmtId="0" fontId="40" fillId="2" borderId="17" xfId="2" applyFont="1" applyFill="1" applyBorder="1" applyAlignment="1" applyProtection="1">
      <alignment horizontal="center"/>
      <protection locked="0"/>
    </xf>
    <xf numFmtId="0" fontId="40" fillId="2" borderId="9" xfId="2" applyFont="1" applyFill="1" applyBorder="1" applyAlignment="1" applyProtection="1">
      <alignment horizontal="center"/>
      <protection locked="0"/>
    </xf>
    <xf numFmtId="0" fontId="40" fillId="2" borderId="0" xfId="2" applyFont="1" applyFill="1" applyBorder="1" applyAlignment="1" applyProtection="1">
      <alignment horizontal="center"/>
      <protection locked="0"/>
    </xf>
    <xf numFmtId="0" fontId="40" fillId="2" borderId="18" xfId="2" applyFont="1" applyFill="1" applyBorder="1" applyAlignment="1" applyProtection="1">
      <alignment horizontal="center"/>
      <protection locked="0"/>
    </xf>
    <xf numFmtId="0" fontId="40" fillId="2" borderId="62" xfId="2" applyFont="1" applyFill="1" applyBorder="1" applyAlignment="1" applyProtection="1">
      <alignment horizontal="center"/>
      <protection locked="0"/>
    </xf>
    <xf numFmtId="0" fontId="40" fillId="2" borderId="63" xfId="2" applyFont="1" applyFill="1" applyBorder="1" applyAlignment="1" applyProtection="1">
      <alignment horizontal="center"/>
      <protection locked="0"/>
    </xf>
    <xf numFmtId="0" fontId="40" fillId="2" borderId="64" xfId="2" applyFont="1" applyFill="1" applyBorder="1" applyAlignment="1" applyProtection="1">
      <alignment horizontal="center"/>
      <protection locked="0"/>
    </xf>
    <xf numFmtId="0" fontId="55" fillId="3" borderId="4" xfId="2" applyFont="1" applyFill="1" applyBorder="1" applyAlignment="1" applyProtection="1">
      <alignment horizontal="center" vertical="center"/>
      <protection locked="0"/>
    </xf>
    <xf numFmtId="2" fontId="55" fillId="3" borderId="5" xfId="2" applyNumberFormat="1" applyFont="1" applyFill="1" applyBorder="1" applyAlignment="1" applyProtection="1">
      <alignment horizontal="center" vertical="center"/>
      <protection locked="0"/>
    </xf>
    <xf numFmtId="2" fontId="55" fillId="3" borderId="38" xfId="2" applyNumberFormat="1" applyFont="1" applyFill="1" applyBorder="1" applyAlignment="1" applyProtection="1">
      <alignment horizontal="center" vertical="center"/>
      <protection locked="0"/>
    </xf>
    <xf numFmtId="0" fontId="55" fillId="10" borderId="1" xfId="2" applyFont="1" applyFill="1" applyBorder="1" applyAlignment="1" applyProtection="1">
      <alignment horizontal="center" vertical="center"/>
      <protection locked="0"/>
    </xf>
    <xf numFmtId="0" fontId="44" fillId="2" borderId="20" xfId="2" applyFont="1" applyFill="1" applyBorder="1" applyAlignment="1" applyProtection="1">
      <alignment horizontal="center" vertical="center" wrapText="1"/>
      <protection locked="0"/>
    </xf>
    <xf numFmtId="0" fontId="44" fillId="2" borderId="21" xfId="2" applyFont="1" applyFill="1" applyBorder="1" applyAlignment="1" applyProtection="1">
      <alignment horizontal="center" vertical="center" wrapText="1"/>
      <protection locked="0"/>
    </xf>
    <xf numFmtId="0" fontId="44" fillId="2" borderId="40" xfId="2" applyFont="1" applyFill="1" applyBorder="1" applyAlignment="1" applyProtection="1">
      <alignment horizontal="center" vertical="center" wrapText="1"/>
      <protection locked="0"/>
    </xf>
    <xf numFmtId="0" fontId="44" fillId="2" borderId="41" xfId="2" applyFont="1" applyFill="1" applyBorder="1" applyAlignment="1" applyProtection="1">
      <alignment horizontal="center" vertical="center" wrapText="1"/>
      <protection locked="0"/>
    </xf>
    <xf numFmtId="0" fontId="55" fillId="3" borderId="3" xfId="2" applyFont="1" applyFill="1" applyBorder="1" applyAlignment="1" applyProtection="1">
      <alignment horizontal="left" vertical="center"/>
      <protection locked="0"/>
    </xf>
    <xf numFmtId="0" fontId="55" fillId="3" borderId="2" xfId="2" applyFont="1" applyFill="1" applyBorder="1" applyAlignment="1" applyProtection="1">
      <alignment horizontal="left" vertical="center"/>
      <protection locked="0"/>
    </xf>
    <xf numFmtId="168" fontId="55" fillId="3" borderId="3" xfId="7" applyFont="1" applyFill="1" applyBorder="1" applyAlignment="1" applyProtection="1">
      <alignment horizontal="left" vertical="center"/>
      <protection locked="0"/>
    </xf>
    <xf numFmtId="168" fontId="55" fillId="3" borderId="2" xfId="7" applyFont="1" applyFill="1" applyBorder="1" applyAlignment="1" applyProtection="1">
      <alignment horizontal="left" vertical="center"/>
      <protection locked="0"/>
    </xf>
    <xf numFmtId="0" fontId="55" fillId="3" borderId="14" xfId="0" quotePrefix="1" applyNumberFormat="1" applyFont="1" applyFill="1" applyBorder="1" applyAlignment="1" applyProtection="1">
      <alignment horizontal="center" vertical="center"/>
      <protection locked="0"/>
    </xf>
    <xf numFmtId="0" fontId="55" fillId="3" borderId="25" xfId="0" quotePrefix="1" applyNumberFormat="1" applyFont="1" applyFill="1" applyBorder="1" applyAlignment="1" applyProtection="1">
      <alignment horizontal="center" vertical="center"/>
      <protection locked="0"/>
    </xf>
    <xf numFmtId="0" fontId="55" fillId="3" borderId="14" xfId="2" applyNumberFormat="1" applyFont="1" applyFill="1" applyBorder="1" applyAlignment="1" applyProtection="1">
      <alignment horizontal="center" vertical="center"/>
      <protection locked="0"/>
    </xf>
    <xf numFmtId="0" fontId="55" fillId="3" borderId="25" xfId="2" applyNumberFormat="1" applyFont="1" applyFill="1" applyBorder="1" applyAlignment="1" applyProtection="1">
      <alignment horizontal="center" vertical="center"/>
      <protection locked="0"/>
    </xf>
    <xf numFmtId="0" fontId="54" fillId="3" borderId="4" xfId="2" applyFont="1" applyFill="1" applyBorder="1" applyAlignment="1" applyProtection="1">
      <alignment horizontal="left" vertical="center"/>
      <protection locked="0"/>
    </xf>
    <xf numFmtId="0" fontId="54" fillId="3" borderId="5" xfId="2" applyFont="1" applyFill="1" applyBorder="1" applyAlignment="1" applyProtection="1">
      <alignment horizontal="left" vertical="center"/>
      <protection locked="0"/>
    </xf>
    <xf numFmtId="0" fontId="55" fillId="3" borderId="2" xfId="0" applyFont="1" applyFill="1" applyBorder="1" applyAlignment="1" applyProtection="1">
      <alignment horizontal="center" vertical="center"/>
      <protection locked="0"/>
    </xf>
    <xf numFmtId="0" fontId="55" fillId="3" borderId="23" xfId="2" applyFont="1" applyFill="1" applyBorder="1" applyAlignment="1" applyProtection="1">
      <alignment horizontal="center" vertical="center"/>
      <protection locked="0"/>
    </xf>
    <xf numFmtId="0" fontId="55" fillId="3" borderId="69" xfId="2" applyFont="1" applyFill="1" applyBorder="1" applyAlignment="1" applyProtection="1">
      <alignment horizontal="center" vertical="center"/>
      <protection locked="0"/>
    </xf>
    <xf numFmtId="0" fontId="55" fillId="3" borderId="7" xfId="2" applyFont="1" applyFill="1" applyBorder="1" applyAlignment="1" applyProtection="1">
      <alignment horizontal="center" vertical="center"/>
      <protection locked="0"/>
    </xf>
    <xf numFmtId="2" fontId="55" fillId="3" borderId="2" xfId="0" applyNumberFormat="1" applyFont="1" applyFill="1" applyBorder="1" applyAlignment="1" applyProtection="1">
      <alignment horizontal="center" vertical="center"/>
      <protection locked="0"/>
    </xf>
    <xf numFmtId="2" fontId="54" fillId="3" borderId="2" xfId="0" applyNumberFormat="1" applyFont="1" applyFill="1" applyBorder="1" applyAlignment="1" applyProtection="1">
      <alignment horizontal="center" vertical="center"/>
      <protection locked="0"/>
    </xf>
    <xf numFmtId="2" fontId="54" fillId="3" borderId="5" xfId="0" applyNumberFormat="1" applyFont="1" applyFill="1" applyBorder="1" applyAlignment="1" applyProtection="1">
      <alignment horizontal="center" vertical="center"/>
      <protection locked="0"/>
    </xf>
    <xf numFmtId="2" fontId="55" fillId="3" borderId="23" xfId="0" applyNumberFormat="1" applyFont="1" applyFill="1" applyBorder="1" applyAlignment="1" applyProtection="1">
      <alignment horizontal="center" vertical="center"/>
      <protection locked="0"/>
    </xf>
    <xf numFmtId="0" fontId="54" fillId="3" borderId="4" xfId="2" applyFont="1" applyFill="1" applyBorder="1" applyAlignment="1" applyProtection="1">
      <alignment vertical="center"/>
      <protection locked="0"/>
    </xf>
    <xf numFmtId="0" fontId="54" fillId="3" borderId="5" xfId="2" applyFont="1" applyFill="1" applyBorder="1" applyAlignment="1" applyProtection="1">
      <alignment vertical="center"/>
      <protection locked="0"/>
    </xf>
    <xf numFmtId="0" fontId="54" fillId="0" borderId="3" xfId="2" applyFont="1" applyFill="1" applyBorder="1" applyAlignment="1" applyProtection="1">
      <alignment vertical="center"/>
      <protection locked="0"/>
    </xf>
    <xf numFmtId="0" fontId="54" fillId="0" borderId="2" xfId="2" applyFont="1" applyFill="1" applyBorder="1" applyAlignment="1" applyProtection="1">
      <alignment vertical="center"/>
      <protection locked="0"/>
    </xf>
    <xf numFmtId="0" fontId="44" fillId="2" borderId="74" xfId="2" applyFont="1" applyFill="1" applyBorder="1" applyAlignment="1" applyProtection="1">
      <alignment horizontal="center" vertical="center"/>
      <protection locked="0"/>
    </xf>
    <xf numFmtId="0" fontId="44" fillId="2" borderId="65" xfId="2" applyFont="1" applyFill="1" applyBorder="1" applyAlignment="1" applyProtection="1">
      <alignment horizontal="center" vertical="center"/>
      <protection locked="0"/>
    </xf>
    <xf numFmtId="0" fontId="44" fillId="2" borderId="66" xfId="2" applyFont="1" applyFill="1" applyBorder="1" applyAlignment="1" applyProtection="1">
      <alignment horizontal="center" vertical="center"/>
      <protection locked="0"/>
    </xf>
    <xf numFmtId="2" fontId="54" fillId="3" borderId="23" xfId="0" applyNumberFormat="1" applyFont="1" applyFill="1" applyBorder="1" applyAlignment="1" applyProtection="1">
      <alignment horizontal="center" vertical="center"/>
      <protection locked="0"/>
    </xf>
    <xf numFmtId="0" fontId="44" fillId="2" borderId="76" xfId="2" applyFont="1" applyFill="1" applyBorder="1" applyAlignment="1" applyProtection="1">
      <alignment horizontal="center" vertical="center"/>
      <protection locked="0"/>
    </xf>
    <xf numFmtId="0" fontId="44" fillId="2" borderId="67" xfId="2" applyFont="1" applyFill="1" applyBorder="1" applyAlignment="1" applyProtection="1">
      <alignment horizontal="center" vertical="center"/>
      <protection locked="0"/>
    </xf>
    <xf numFmtId="0" fontId="44" fillId="2" borderId="68" xfId="2" applyFont="1" applyFill="1" applyBorder="1" applyAlignment="1" applyProtection="1">
      <alignment horizontal="center" vertical="center"/>
      <protection locked="0"/>
    </xf>
    <xf numFmtId="0" fontId="55" fillId="0" borderId="3" xfId="2" applyFont="1" applyFill="1" applyBorder="1" applyAlignment="1" applyProtection="1">
      <alignment horizontal="left" vertical="center"/>
      <protection locked="0"/>
    </xf>
    <xf numFmtId="0" fontId="55" fillId="0" borderId="2" xfId="2" applyFont="1" applyFill="1" applyBorder="1" applyAlignment="1" applyProtection="1">
      <alignment horizontal="left" vertical="center"/>
      <protection locked="0"/>
    </xf>
    <xf numFmtId="2" fontId="55" fillId="3" borderId="2" xfId="0" quotePrefix="1" applyNumberFormat="1" applyFont="1" applyFill="1" applyBorder="1" applyAlignment="1" applyProtection="1">
      <alignment horizontal="center" vertical="center"/>
      <protection locked="0"/>
    </xf>
    <xf numFmtId="1" fontId="55" fillId="3" borderId="22" xfId="0" quotePrefix="1" applyNumberFormat="1" applyFont="1" applyFill="1" applyBorder="1" applyAlignment="1" applyProtection="1">
      <alignment horizontal="center" vertical="center"/>
      <protection locked="0"/>
    </xf>
    <xf numFmtId="1" fontId="55" fillId="3" borderId="13" xfId="0" quotePrefix="1" applyNumberFormat="1" applyFont="1" applyFill="1" applyBorder="1" applyAlignment="1" applyProtection="1">
      <alignment horizontal="center" vertical="center"/>
      <protection locked="0"/>
    </xf>
    <xf numFmtId="1" fontId="55" fillId="3" borderId="26" xfId="0" quotePrefix="1" applyNumberFormat="1" applyFont="1" applyFill="1" applyBorder="1" applyAlignment="1" applyProtection="1">
      <alignment horizontal="center" vertical="center"/>
      <protection locked="0"/>
    </xf>
    <xf numFmtId="1" fontId="55" fillId="3" borderId="11" xfId="0" quotePrefix="1" applyNumberFormat="1" applyFont="1" applyFill="1" applyBorder="1" applyAlignment="1" applyProtection="1">
      <alignment horizontal="center" vertical="center"/>
      <protection locked="0"/>
    </xf>
    <xf numFmtId="1" fontId="55" fillId="3" borderId="2" xfId="0" quotePrefix="1" applyNumberFormat="1" applyFont="1" applyFill="1" applyBorder="1" applyAlignment="1" applyProtection="1">
      <alignment horizontal="center" vertical="center"/>
      <protection locked="0"/>
    </xf>
    <xf numFmtId="1" fontId="55" fillId="3" borderId="5" xfId="0" quotePrefix="1" applyNumberFormat="1" applyFont="1" applyFill="1" applyBorder="1" applyAlignment="1" applyProtection="1">
      <alignment horizontal="center" vertical="center"/>
      <protection locked="0"/>
    </xf>
    <xf numFmtId="0" fontId="54" fillId="0" borderId="20" xfId="2" applyFont="1" applyFill="1" applyBorder="1" applyAlignment="1" applyProtection="1">
      <alignment vertical="center"/>
      <protection locked="0"/>
    </xf>
    <xf numFmtId="0" fontId="54" fillId="0" borderId="39" xfId="2" applyFont="1" applyFill="1" applyBorder="1" applyAlignment="1" applyProtection="1">
      <alignment vertical="center"/>
      <protection locked="0"/>
    </xf>
    <xf numFmtId="2" fontId="55" fillId="3" borderId="32" xfId="0" quotePrefix="1" applyNumberFormat="1" applyFont="1" applyFill="1" applyBorder="1" applyAlignment="1" applyProtection="1">
      <alignment horizontal="center" vertical="center"/>
      <protection locked="0"/>
    </xf>
    <xf numFmtId="2" fontId="55" fillId="3" borderId="38" xfId="0" quotePrefix="1" applyNumberFormat="1" applyFont="1" applyFill="1" applyBorder="1" applyAlignment="1" applyProtection="1">
      <alignment horizontal="center" vertical="center"/>
      <protection locked="0"/>
    </xf>
    <xf numFmtId="0" fontId="54" fillId="0" borderId="3" xfId="2" applyFont="1" applyFill="1" applyBorder="1" applyProtection="1">
      <protection locked="0"/>
    </xf>
    <xf numFmtId="0" fontId="54" fillId="0" borderId="2" xfId="2" applyFont="1" applyFill="1" applyBorder="1" applyProtection="1">
      <protection locked="0"/>
    </xf>
    <xf numFmtId="0" fontId="54" fillId="3" borderId="3" xfId="2" applyFont="1" applyFill="1" applyBorder="1" applyAlignment="1" applyProtection="1">
      <alignment horizontal="left" vertical="center"/>
      <protection locked="0"/>
    </xf>
    <xf numFmtId="0" fontId="54" fillId="3" borderId="2" xfId="2" applyFont="1" applyFill="1" applyBorder="1" applyAlignment="1" applyProtection="1">
      <alignment horizontal="left" vertical="center"/>
      <protection locked="0"/>
    </xf>
    <xf numFmtId="165" fontId="55" fillId="3" borderId="2" xfId="0" quotePrefix="1" applyNumberFormat="1" applyFont="1" applyFill="1" applyBorder="1" applyAlignment="1" applyProtection="1">
      <alignment horizontal="center" vertical="center"/>
      <protection locked="0"/>
    </xf>
    <xf numFmtId="49" fontId="55" fillId="3" borderId="2" xfId="0" quotePrefix="1" applyNumberFormat="1" applyFont="1" applyFill="1" applyBorder="1" applyAlignment="1" applyProtection="1">
      <alignment horizontal="center" vertical="center"/>
      <protection locked="0"/>
    </xf>
    <xf numFmtId="0" fontId="55" fillId="3" borderId="21" xfId="2" quotePrefix="1" applyFont="1" applyFill="1" applyBorder="1" applyAlignment="1" applyProtection="1">
      <alignment horizontal="left" vertical="center"/>
    </xf>
    <xf numFmtId="0" fontId="55" fillId="3" borderId="23" xfId="2" quotePrefix="1" applyFont="1" applyFill="1" applyBorder="1" applyAlignment="1" applyProtection="1">
      <alignment horizontal="left" vertical="center"/>
    </xf>
    <xf numFmtId="0" fontId="55" fillId="3" borderId="3" xfId="2" quotePrefix="1" applyFont="1" applyFill="1" applyBorder="1" applyAlignment="1" applyProtection="1">
      <alignment horizontal="left" vertical="center"/>
    </xf>
    <xf numFmtId="0" fontId="55" fillId="3" borderId="2" xfId="2" quotePrefix="1" applyFont="1" applyFill="1" applyBorder="1" applyAlignment="1" applyProtection="1">
      <alignment horizontal="left" vertical="center"/>
    </xf>
    <xf numFmtId="165" fontId="55" fillId="3" borderId="14" xfId="0" quotePrefix="1" applyNumberFormat="1" applyFont="1" applyFill="1" applyBorder="1" applyAlignment="1" applyProtection="1">
      <alignment horizontal="center" vertical="center"/>
      <protection locked="0"/>
    </xf>
    <xf numFmtId="165" fontId="55" fillId="3" borderId="1" xfId="0" quotePrefix="1" applyNumberFormat="1" applyFont="1" applyFill="1" applyBorder="1" applyAlignment="1" applyProtection="1">
      <alignment horizontal="center" vertical="center"/>
      <protection locked="0"/>
    </xf>
    <xf numFmtId="165" fontId="55" fillId="3" borderId="25" xfId="0" quotePrefix="1" applyNumberFormat="1" applyFont="1" applyFill="1" applyBorder="1" applyAlignment="1" applyProtection="1">
      <alignment horizontal="center" vertical="center"/>
      <protection locked="0"/>
    </xf>
    <xf numFmtId="1" fontId="55" fillId="3" borderId="44" xfId="0" quotePrefix="1" applyNumberFormat="1" applyFont="1" applyFill="1" applyBorder="1" applyAlignment="1" applyProtection="1">
      <alignment horizontal="center" vertical="center"/>
      <protection locked="0"/>
    </xf>
    <xf numFmtId="1" fontId="55" fillId="3" borderId="45" xfId="0" quotePrefix="1" applyNumberFormat="1" applyFont="1" applyFill="1" applyBorder="1" applyAlignment="1" applyProtection="1">
      <alignment horizontal="center" vertical="center"/>
      <protection locked="0"/>
    </xf>
    <xf numFmtId="1" fontId="55" fillId="3" borderId="57" xfId="0" quotePrefix="1" applyNumberFormat="1" applyFont="1" applyFill="1" applyBorder="1" applyAlignment="1" applyProtection="1">
      <alignment horizontal="center" vertical="center"/>
      <protection locked="0"/>
    </xf>
    <xf numFmtId="49" fontId="55" fillId="3" borderId="14" xfId="0" quotePrefix="1" applyNumberFormat="1" applyFont="1" applyFill="1" applyBorder="1" applyAlignment="1" applyProtection="1">
      <alignment horizontal="center" vertical="center"/>
      <protection locked="0"/>
    </xf>
    <xf numFmtId="49" fontId="55" fillId="3" borderId="1" xfId="0" quotePrefix="1" applyNumberFormat="1" applyFont="1" applyFill="1" applyBorder="1" applyAlignment="1" applyProtection="1">
      <alignment horizontal="center" vertical="center"/>
      <protection locked="0"/>
    </xf>
    <xf numFmtId="49" fontId="55" fillId="3" borderId="25" xfId="0" quotePrefix="1" applyNumberFormat="1" applyFont="1" applyFill="1" applyBorder="1" applyAlignment="1" applyProtection="1">
      <alignment horizontal="center" vertical="center"/>
      <protection locked="0"/>
    </xf>
    <xf numFmtId="0" fontId="55" fillId="3" borderId="3" xfId="2" applyFont="1" applyFill="1" applyBorder="1" applyAlignment="1" applyProtection="1">
      <alignment vertical="center"/>
      <protection locked="0"/>
    </xf>
    <xf numFmtId="0" fontId="55" fillId="3" borderId="2" xfId="2" applyFont="1" applyFill="1" applyBorder="1" applyAlignment="1" applyProtection="1">
      <alignment vertical="center"/>
      <protection locked="0"/>
    </xf>
    <xf numFmtId="169" fontId="55" fillId="3" borderId="23" xfId="0" quotePrefix="1" applyNumberFormat="1" applyFont="1" applyFill="1" applyBorder="1" applyAlignment="1" applyProtection="1">
      <alignment horizontal="center" vertical="center"/>
      <protection locked="0"/>
    </xf>
    <xf numFmtId="169" fontId="55" fillId="3" borderId="2" xfId="0" quotePrefix="1" applyNumberFormat="1" applyFont="1" applyFill="1" applyBorder="1" applyAlignment="1" applyProtection="1">
      <alignment horizontal="center" vertical="center"/>
      <protection locked="0"/>
    </xf>
    <xf numFmtId="169" fontId="55" fillId="3" borderId="23" xfId="2" applyNumberFormat="1" applyFont="1" applyFill="1" applyBorder="1" applyAlignment="1" applyProtection="1">
      <alignment horizontal="center" vertical="center"/>
      <protection locked="0"/>
    </xf>
    <xf numFmtId="169" fontId="55" fillId="3" borderId="26" xfId="2" applyNumberFormat="1" applyFont="1" applyFill="1" applyBorder="1" applyAlignment="1" applyProtection="1">
      <alignment horizontal="center" vertical="center"/>
      <protection locked="0"/>
    </xf>
    <xf numFmtId="169" fontId="55" fillId="3" borderId="2" xfId="2" applyNumberFormat="1" applyFont="1" applyFill="1" applyBorder="1" applyAlignment="1" applyProtection="1">
      <alignment horizontal="center" vertical="center"/>
      <protection locked="0"/>
    </xf>
    <xf numFmtId="169" fontId="55" fillId="3" borderId="14" xfId="2" applyNumberFormat="1" applyFont="1" applyFill="1" applyBorder="1" applyAlignment="1" applyProtection="1">
      <alignment horizontal="center" vertical="center"/>
      <protection locked="0"/>
    </xf>
    <xf numFmtId="1" fontId="58" fillId="3" borderId="2" xfId="0" quotePrefix="1" applyNumberFormat="1" applyFont="1" applyFill="1" applyBorder="1" applyAlignment="1" applyProtection="1">
      <alignment horizontal="center" vertical="center"/>
      <protection locked="0"/>
    </xf>
    <xf numFmtId="1" fontId="58" fillId="3" borderId="2" xfId="0" applyNumberFormat="1" applyFont="1" applyFill="1" applyBorder="1" applyAlignment="1" applyProtection="1">
      <alignment horizontal="center" vertical="center"/>
      <protection locked="0"/>
    </xf>
    <xf numFmtId="0" fontId="58" fillId="3" borderId="39" xfId="0" applyFont="1" applyFill="1" applyBorder="1" applyAlignment="1" applyProtection="1">
      <alignment horizontal="center" vertical="center"/>
      <protection locked="0"/>
    </xf>
    <xf numFmtId="0" fontId="58" fillId="3" borderId="2" xfId="0" applyFont="1" applyFill="1" applyBorder="1" applyAlignment="1" applyProtection="1">
      <alignment horizontal="center" vertical="center"/>
      <protection locked="0"/>
    </xf>
    <xf numFmtId="0" fontId="55" fillId="3" borderId="46" xfId="2" applyFont="1" applyFill="1" applyBorder="1" applyAlignment="1" applyProtection="1">
      <alignment horizontal="left" vertical="center"/>
      <protection locked="0"/>
    </xf>
    <xf numFmtId="0" fontId="55" fillId="0" borderId="15" xfId="2" applyFont="1" applyFill="1" applyBorder="1" applyAlignment="1" applyProtection="1">
      <alignment horizontal="left" vertical="center"/>
      <protection locked="0"/>
    </xf>
    <xf numFmtId="12" fontId="55" fillId="3" borderId="20" xfId="0" applyNumberFormat="1" applyFont="1" applyFill="1" applyBorder="1" applyAlignment="1" applyProtection="1">
      <alignment horizontal="left" vertical="center"/>
      <protection locked="0"/>
    </xf>
    <xf numFmtId="12" fontId="55" fillId="3" borderId="39" xfId="0" applyNumberFormat="1" applyFont="1" applyFill="1" applyBorder="1" applyAlignment="1" applyProtection="1">
      <alignment horizontal="left" vertical="center"/>
      <protection locked="0"/>
    </xf>
    <xf numFmtId="12" fontId="55" fillId="3" borderId="3" xfId="0" applyNumberFormat="1" applyFont="1" applyFill="1" applyBorder="1" applyAlignment="1" applyProtection="1">
      <alignment horizontal="left" vertical="center"/>
      <protection locked="0"/>
    </xf>
    <xf numFmtId="12" fontId="55" fillId="3" borderId="2" xfId="0" applyNumberFormat="1" applyFont="1" applyFill="1" applyBorder="1" applyAlignment="1" applyProtection="1">
      <alignment horizontal="left" vertical="center"/>
      <protection locked="0"/>
    </xf>
    <xf numFmtId="0" fontId="10" fillId="3" borderId="0" xfId="2" applyFont="1" applyFill="1" applyBorder="1" applyAlignment="1" applyProtection="1">
      <alignment horizontal="center" vertical="center" wrapText="1"/>
    </xf>
    <xf numFmtId="0" fontId="44" fillId="2" borderId="30" xfId="2" applyFont="1" applyFill="1" applyBorder="1" applyAlignment="1" applyProtection="1">
      <alignment horizontal="center" vertical="center"/>
      <protection locked="0"/>
    </xf>
    <xf numFmtId="0" fontId="20" fillId="0" borderId="0" xfId="0" applyFont="1" applyBorder="1" applyAlignment="1" applyProtection="1">
      <alignment horizontal="center" vertical="center" wrapText="1" shrinkToFit="1"/>
    </xf>
    <xf numFmtId="0" fontId="55" fillId="0" borderId="3" xfId="2" applyFont="1" applyFill="1" applyBorder="1" applyAlignment="1" applyProtection="1">
      <alignment horizontal="left" vertical="center"/>
    </xf>
    <xf numFmtId="0" fontId="55" fillId="0" borderId="2" xfId="2" applyFont="1" applyFill="1" applyBorder="1" applyAlignment="1" applyProtection="1">
      <alignment horizontal="left" vertical="center"/>
    </xf>
    <xf numFmtId="1" fontId="55" fillId="0" borderId="39" xfId="2" applyNumberFormat="1" applyFont="1" applyFill="1" applyBorder="1" applyAlignment="1" applyProtection="1">
      <alignment horizontal="center" vertical="center" wrapText="1"/>
      <protection locked="0"/>
    </xf>
    <xf numFmtId="19" fontId="55" fillId="0" borderId="3" xfId="2" applyNumberFormat="1" applyFont="1" applyFill="1" applyBorder="1" applyAlignment="1" applyProtection="1">
      <alignment horizontal="left" vertical="center"/>
    </xf>
    <xf numFmtId="19" fontId="55" fillId="0" borderId="2" xfId="2" applyNumberFormat="1" applyFont="1" applyFill="1" applyBorder="1" applyAlignment="1" applyProtection="1">
      <alignment horizontal="left" vertical="center"/>
    </xf>
    <xf numFmtId="0" fontId="55" fillId="3" borderId="20" xfId="2" applyFont="1" applyFill="1" applyBorder="1" applyAlignment="1" applyProtection="1">
      <alignment horizontal="left" vertical="center"/>
    </xf>
    <xf numFmtId="0" fontId="55" fillId="3" borderId="39" xfId="2" applyFont="1" applyFill="1" applyBorder="1" applyAlignment="1" applyProtection="1">
      <alignment horizontal="left" vertical="center"/>
    </xf>
    <xf numFmtId="0" fontId="33" fillId="0" borderId="0" xfId="0" applyFont="1" applyBorder="1" applyAlignment="1" applyProtection="1">
      <alignment horizontal="center" vertical="center" wrapText="1" shrinkToFit="1"/>
    </xf>
    <xf numFmtId="0" fontId="44" fillId="2" borderId="7" xfId="2" applyNumberFormat="1" applyFont="1" applyFill="1" applyBorder="1" applyAlignment="1" applyProtection="1">
      <alignment horizontal="center" vertical="center"/>
    </xf>
    <xf numFmtId="0" fontId="44" fillId="2" borderId="5" xfId="2" applyNumberFormat="1" applyFont="1" applyFill="1" applyBorder="1" applyAlignment="1" applyProtection="1">
      <alignment horizontal="center" vertical="center"/>
    </xf>
    <xf numFmtId="0" fontId="44" fillId="2" borderId="6" xfId="2" applyFont="1" applyFill="1" applyBorder="1" applyAlignment="1" applyProtection="1">
      <alignment horizontal="center" vertical="center"/>
    </xf>
    <xf numFmtId="0" fontId="44" fillId="2" borderId="7" xfId="2" applyFont="1" applyFill="1" applyBorder="1" applyAlignment="1" applyProtection="1">
      <alignment horizontal="center" vertical="center"/>
    </xf>
    <xf numFmtId="0" fontId="44" fillId="2" borderId="4" xfId="2" applyFont="1" applyFill="1" applyBorder="1" applyAlignment="1" applyProtection="1">
      <alignment horizontal="center" vertical="center"/>
    </xf>
    <xf numFmtId="0" fontId="44" fillId="2" borderId="5" xfId="2" applyFont="1" applyFill="1" applyBorder="1" applyAlignment="1" applyProtection="1">
      <alignment horizontal="center" vertical="center"/>
    </xf>
    <xf numFmtId="49" fontId="54" fillId="2" borderId="7" xfId="0" quotePrefix="1" applyNumberFormat="1" applyFont="1" applyFill="1" applyBorder="1" applyAlignment="1" applyProtection="1">
      <alignment horizontal="center" vertical="center"/>
    </xf>
    <xf numFmtId="2" fontId="55" fillId="3" borderId="5" xfId="0" quotePrefix="1" applyNumberFormat="1" applyFont="1" applyFill="1" applyBorder="1" applyAlignment="1" applyProtection="1">
      <alignment horizontal="center" vertical="center"/>
      <protection locked="0"/>
    </xf>
    <xf numFmtId="0" fontId="44" fillId="0" borderId="3" xfId="2" applyFont="1" applyFill="1" applyBorder="1" applyAlignment="1" applyProtection="1">
      <alignment horizontal="left" vertical="center"/>
      <protection locked="0"/>
    </xf>
    <xf numFmtId="0" fontId="44" fillId="0" borderId="2" xfId="2" applyFont="1" applyFill="1" applyBorder="1" applyAlignment="1" applyProtection="1">
      <alignment horizontal="left" vertical="center"/>
      <protection locked="0"/>
    </xf>
    <xf numFmtId="0" fontId="55" fillId="3" borderId="4" xfId="2" applyFont="1" applyFill="1" applyBorder="1" applyAlignment="1" applyProtection="1">
      <alignment vertical="center"/>
      <protection locked="0"/>
    </xf>
    <xf numFmtId="0" fontId="55" fillId="3" borderId="5" xfId="2" applyFont="1" applyFill="1" applyBorder="1" applyAlignment="1" applyProtection="1">
      <alignment vertical="center"/>
      <protection locked="0"/>
    </xf>
    <xf numFmtId="0" fontId="54" fillId="0" borderId="46" xfId="2" applyFont="1" applyFill="1" applyBorder="1" applyAlignment="1" applyProtection="1">
      <alignment horizontal="left" vertical="center"/>
      <protection locked="0"/>
    </xf>
    <xf numFmtId="0" fontId="54" fillId="0" borderId="5" xfId="2" applyFont="1" applyFill="1" applyBorder="1" applyAlignment="1" applyProtection="1">
      <alignment horizontal="left" vertical="center"/>
      <protection locked="0"/>
    </xf>
    <xf numFmtId="0" fontId="44" fillId="0" borderId="2" xfId="2" applyFont="1" applyFill="1" applyBorder="1" applyAlignment="1" applyProtection="1">
      <alignment horizontal="center" vertical="center"/>
      <protection locked="0"/>
    </xf>
    <xf numFmtId="2" fontId="48" fillId="3" borderId="5" xfId="0" applyNumberFormat="1" applyFont="1" applyFill="1" applyBorder="1" applyAlignment="1" applyProtection="1">
      <alignment horizontal="center" vertical="center"/>
      <protection locked="0"/>
    </xf>
    <xf numFmtId="0" fontId="55" fillId="0" borderId="2" xfId="2" applyFont="1" applyFill="1" applyBorder="1" applyAlignment="1" applyProtection="1">
      <alignment horizontal="center" vertical="center"/>
      <protection locked="0"/>
    </xf>
    <xf numFmtId="0" fontId="55" fillId="0" borderId="32" xfId="2" applyFont="1" applyFill="1" applyBorder="1" applyAlignment="1" applyProtection="1">
      <alignment horizontal="center" vertical="center"/>
      <protection locked="0"/>
    </xf>
    <xf numFmtId="0" fontId="44" fillId="2" borderId="61" xfId="2" applyFont="1" applyFill="1" applyBorder="1" applyAlignment="1" applyProtection="1">
      <alignment horizontal="center" vertical="center"/>
      <protection locked="0"/>
    </xf>
    <xf numFmtId="3" fontId="55" fillId="3" borderId="14" xfId="0" applyNumberFormat="1" applyFont="1" applyFill="1" applyBorder="1" applyAlignment="1" applyProtection="1">
      <alignment horizontal="center" vertical="center"/>
      <protection locked="0"/>
    </xf>
    <xf numFmtId="3" fontId="55" fillId="3" borderId="15" xfId="0" applyNumberFormat="1" applyFont="1" applyFill="1" applyBorder="1" applyAlignment="1" applyProtection="1">
      <alignment horizontal="center" vertical="center"/>
      <protection locked="0"/>
    </xf>
    <xf numFmtId="0" fontId="55" fillId="0" borderId="4" xfId="2" applyFont="1" applyFill="1" applyBorder="1" applyAlignment="1" applyProtection="1">
      <alignment horizontal="left" vertical="center"/>
      <protection locked="0"/>
    </xf>
    <xf numFmtId="0" fontId="55" fillId="0" borderId="5" xfId="2" applyFont="1" applyFill="1" applyBorder="1" applyAlignment="1" applyProtection="1">
      <alignment horizontal="left" vertical="center"/>
      <protection locked="0"/>
    </xf>
    <xf numFmtId="12" fontId="55" fillId="3" borderId="14" xfId="0" quotePrefix="1" applyNumberFormat="1" applyFont="1" applyFill="1" applyBorder="1" applyAlignment="1" applyProtection="1">
      <alignment horizontal="center" vertical="center"/>
      <protection locked="0"/>
    </xf>
    <xf numFmtId="12" fontId="55" fillId="3" borderId="1" xfId="0" quotePrefix="1" applyNumberFormat="1" applyFont="1" applyFill="1" applyBorder="1" applyAlignment="1" applyProtection="1">
      <alignment horizontal="center" vertical="center"/>
      <protection locked="0"/>
    </xf>
    <xf numFmtId="12" fontId="55" fillId="3" borderId="25" xfId="0" quotePrefix="1" applyNumberFormat="1" applyFont="1" applyFill="1" applyBorder="1" applyAlignment="1" applyProtection="1">
      <alignment horizontal="center" vertical="center"/>
      <protection locked="0"/>
    </xf>
    <xf numFmtId="0" fontId="54" fillId="3" borderId="3" xfId="2" applyFont="1" applyFill="1" applyBorder="1" applyAlignment="1" applyProtection="1">
      <alignment vertical="center"/>
      <protection locked="0"/>
    </xf>
    <xf numFmtId="0" fontId="54" fillId="3" borderId="2" xfId="2" applyFont="1" applyFill="1" applyBorder="1" applyAlignment="1" applyProtection="1">
      <alignment vertical="center"/>
      <protection locked="0"/>
    </xf>
    <xf numFmtId="0" fontId="55" fillId="0" borderId="3" xfId="2" applyFont="1" applyFill="1" applyBorder="1" applyAlignment="1" applyProtection="1">
      <alignment vertical="center"/>
      <protection locked="0"/>
    </xf>
    <xf numFmtId="0" fontId="55" fillId="0" borderId="2" xfId="2" applyFont="1" applyFill="1" applyBorder="1" applyAlignment="1" applyProtection="1">
      <alignment vertical="center"/>
      <protection locked="0"/>
    </xf>
    <xf numFmtId="169" fontId="55" fillId="3" borderId="39" xfId="2" quotePrefix="1" applyNumberFormat="1" applyFont="1" applyFill="1" applyBorder="1" applyAlignment="1" applyProtection="1">
      <alignment horizontal="center" vertical="center"/>
      <protection locked="0"/>
    </xf>
    <xf numFmtId="169" fontId="55" fillId="3" borderId="39" xfId="2" applyNumberFormat="1" applyFont="1" applyFill="1" applyBorder="1" applyAlignment="1" applyProtection="1">
      <alignment horizontal="center" vertical="center"/>
      <protection locked="0"/>
    </xf>
    <xf numFmtId="169" fontId="55" fillId="3" borderId="22" xfId="2" applyNumberFormat="1" applyFont="1" applyFill="1" applyBorder="1" applyAlignment="1" applyProtection="1">
      <alignment horizontal="center" vertical="center"/>
      <protection locked="0"/>
    </xf>
    <xf numFmtId="169" fontId="55" fillId="2" borderId="7" xfId="2" applyNumberFormat="1" applyFont="1" applyFill="1" applyBorder="1" applyAlignment="1" applyProtection="1">
      <alignment horizontal="center" vertical="center"/>
      <protection locked="0"/>
    </xf>
    <xf numFmtId="0" fontId="56" fillId="2" borderId="6" xfId="2" applyFont="1" applyFill="1" applyBorder="1" applyAlignment="1" applyProtection="1">
      <alignment horizontal="center" vertical="center"/>
    </xf>
    <xf numFmtId="0" fontId="56" fillId="2" borderId="7" xfId="2" applyFont="1" applyFill="1" applyBorder="1" applyAlignment="1" applyProtection="1">
      <alignment horizontal="center" vertical="center"/>
    </xf>
    <xf numFmtId="0" fontId="56" fillId="2" borderId="30" xfId="2" applyFont="1" applyFill="1" applyBorder="1" applyAlignment="1" applyProtection="1">
      <alignment horizontal="center" vertical="center"/>
    </xf>
    <xf numFmtId="1" fontId="55" fillId="3" borderId="32" xfId="0" quotePrefix="1" applyNumberFormat="1" applyFont="1" applyFill="1" applyBorder="1" applyAlignment="1" applyProtection="1">
      <alignment horizontal="center" vertical="center"/>
      <protection locked="0"/>
    </xf>
    <xf numFmtId="49" fontId="55" fillId="3" borderId="5" xfId="0" quotePrefix="1" applyNumberFormat="1" applyFont="1" applyFill="1" applyBorder="1" applyAlignment="1" applyProtection="1">
      <alignment horizontal="center" vertical="center"/>
      <protection locked="0"/>
    </xf>
    <xf numFmtId="0" fontId="55" fillId="0" borderId="4" xfId="2" applyFont="1" applyFill="1" applyBorder="1" applyAlignment="1" applyProtection="1">
      <alignment horizontal="left" vertical="center"/>
    </xf>
    <xf numFmtId="0" fontId="55" fillId="0" borderId="5" xfId="2" applyFont="1" applyFill="1" applyBorder="1" applyAlignment="1" applyProtection="1">
      <alignment horizontal="left" vertical="center"/>
    </xf>
    <xf numFmtId="0" fontId="54" fillId="3" borderId="32" xfId="0" applyFont="1" applyFill="1" applyBorder="1" applyAlignment="1" applyProtection="1">
      <alignment horizontal="center" vertical="center"/>
      <protection locked="0"/>
    </xf>
    <xf numFmtId="1" fontId="55" fillId="3" borderId="14" xfId="0" quotePrefix="1" applyNumberFormat="1" applyFont="1" applyFill="1" applyBorder="1" applyAlignment="1" applyProtection="1">
      <alignment horizontal="center" vertical="center"/>
      <protection locked="0"/>
    </xf>
    <xf numFmtId="1" fontId="55" fillId="3" borderId="1" xfId="0" quotePrefix="1" applyNumberFormat="1" applyFont="1" applyFill="1" applyBorder="1" applyAlignment="1" applyProtection="1">
      <alignment horizontal="center" vertical="center"/>
      <protection locked="0"/>
    </xf>
    <xf numFmtId="1" fontId="55" fillId="3" borderId="25" xfId="0" quotePrefix="1" applyNumberFormat="1" applyFont="1" applyFill="1" applyBorder="1" applyAlignment="1" applyProtection="1">
      <alignment horizontal="center" vertical="center"/>
      <protection locked="0"/>
    </xf>
    <xf numFmtId="49" fontId="55" fillId="0" borderId="2" xfId="0" applyNumberFormat="1" applyFont="1" applyFill="1" applyBorder="1" applyAlignment="1" applyProtection="1">
      <alignment horizontal="center" vertical="center"/>
      <protection locked="0"/>
    </xf>
    <xf numFmtId="0" fontId="44" fillId="3" borderId="6" xfId="2" applyFont="1" applyFill="1" applyBorder="1" applyAlignment="1" applyProtection="1">
      <alignment horizontal="center" vertical="center"/>
      <protection locked="0"/>
    </xf>
    <xf numFmtId="0" fontId="44" fillId="3" borderId="7" xfId="2" applyFont="1" applyFill="1" applyBorder="1" applyAlignment="1" applyProtection="1">
      <alignment horizontal="center" vertical="center"/>
      <protection locked="0"/>
    </xf>
    <xf numFmtId="0" fontId="44" fillId="3" borderId="30" xfId="2" applyFont="1" applyFill="1" applyBorder="1" applyAlignment="1" applyProtection="1">
      <alignment horizontal="center" vertical="center"/>
      <protection locked="0"/>
    </xf>
    <xf numFmtId="0" fontId="55" fillId="3" borderId="32" xfId="2" applyFont="1" applyFill="1" applyBorder="1" applyAlignment="1" applyProtection="1">
      <alignment horizontal="center" vertical="center"/>
      <protection locked="0"/>
    </xf>
    <xf numFmtId="0" fontId="56" fillId="2" borderId="36" xfId="2" applyFont="1" applyFill="1" applyBorder="1" applyAlignment="1" applyProtection="1">
      <alignment horizontal="center" vertical="center"/>
      <protection locked="0"/>
    </xf>
    <xf numFmtId="0" fontId="56" fillId="2" borderId="75" xfId="2" applyFont="1" applyFill="1" applyBorder="1" applyAlignment="1" applyProtection="1">
      <alignment horizontal="center" vertical="center"/>
      <protection locked="0"/>
    </xf>
    <xf numFmtId="0" fontId="44" fillId="2" borderId="36" xfId="2" applyFont="1" applyFill="1" applyBorder="1" applyAlignment="1" applyProtection="1">
      <alignment horizontal="center" vertical="center"/>
      <protection locked="0"/>
    </xf>
    <xf numFmtId="0" fontId="44" fillId="2" borderId="75" xfId="2" applyFont="1" applyFill="1" applyBorder="1" applyAlignment="1" applyProtection="1">
      <alignment horizontal="center" vertical="center"/>
      <protection locked="0"/>
    </xf>
    <xf numFmtId="0" fontId="44" fillId="2" borderId="82" xfId="2" applyFont="1" applyFill="1" applyBorder="1" applyAlignment="1" applyProtection="1">
      <alignment horizontal="center" vertical="center"/>
      <protection locked="0"/>
    </xf>
    <xf numFmtId="168" fontId="54" fillId="3" borderId="3" xfId="7" applyFont="1" applyFill="1" applyBorder="1" applyAlignment="1" applyProtection="1">
      <alignment horizontal="left" vertical="center"/>
      <protection locked="0"/>
    </xf>
    <xf numFmtId="168" fontId="54" fillId="3" borderId="2" xfId="7" applyFont="1" applyFill="1" applyBorder="1" applyAlignment="1" applyProtection="1">
      <alignment horizontal="left" vertical="center"/>
      <protection locked="0"/>
    </xf>
    <xf numFmtId="1" fontId="55" fillId="0" borderId="2" xfId="2" applyNumberFormat="1" applyFont="1" applyFill="1" applyBorder="1" applyAlignment="1" applyProtection="1">
      <alignment horizontal="center" vertical="center"/>
      <protection locked="0"/>
    </xf>
    <xf numFmtId="0" fontId="55" fillId="3" borderId="15" xfId="2" applyFont="1" applyFill="1" applyBorder="1" applyAlignment="1" applyProtection="1">
      <alignment horizontal="left" vertical="center"/>
      <protection locked="0"/>
    </xf>
    <xf numFmtId="0" fontId="55" fillId="2" borderId="16" xfId="2" applyFont="1" applyFill="1" applyBorder="1" applyAlignment="1" applyProtection="1">
      <alignment horizontal="center" vertical="center"/>
    </xf>
    <xf numFmtId="0" fontId="55" fillId="2" borderId="8" xfId="2" applyFont="1" applyFill="1" applyBorder="1" applyAlignment="1" applyProtection="1">
      <alignment horizontal="center" vertical="center"/>
    </xf>
    <xf numFmtId="0" fontId="55" fillId="2" borderId="77" xfId="2" applyFont="1" applyFill="1" applyBorder="1" applyAlignment="1" applyProtection="1">
      <alignment horizontal="center" vertical="center"/>
    </xf>
    <xf numFmtId="0" fontId="55" fillId="2" borderId="9" xfId="2" applyFont="1" applyFill="1" applyBorder="1" applyAlignment="1" applyProtection="1">
      <alignment horizontal="center" vertical="center"/>
    </xf>
    <xf numFmtId="0" fontId="55" fillId="2" borderId="0" xfId="2" applyFont="1" applyFill="1" applyBorder="1" applyAlignment="1" applyProtection="1">
      <alignment horizontal="center" vertical="center"/>
    </xf>
    <xf numFmtId="0" fontId="55" fillId="2" borderId="78" xfId="2" applyFont="1" applyFill="1" applyBorder="1" applyAlignment="1" applyProtection="1">
      <alignment horizontal="center" vertical="center"/>
    </xf>
    <xf numFmtId="0" fontId="55" fillId="2" borderId="62" xfId="2" applyFont="1" applyFill="1" applyBorder="1" applyAlignment="1" applyProtection="1">
      <alignment horizontal="center" vertical="center"/>
    </xf>
    <xf numFmtId="0" fontId="55" fillId="2" borderId="63" xfId="2" applyFont="1" applyFill="1" applyBorder="1" applyAlignment="1" applyProtection="1">
      <alignment horizontal="center" vertical="center"/>
    </xf>
    <xf numFmtId="0" fontId="55" fillId="2" borderId="79" xfId="2" applyFont="1" applyFill="1" applyBorder="1" applyAlignment="1" applyProtection="1">
      <alignment horizontal="center" vertical="center"/>
    </xf>
    <xf numFmtId="0" fontId="55" fillId="2" borderId="6" xfId="2" applyFont="1" applyFill="1" applyBorder="1" applyAlignment="1" applyProtection="1">
      <alignment vertical="center"/>
    </xf>
    <xf numFmtId="0" fontId="55" fillId="2" borderId="7" xfId="2" applyFont="1" applyFill="1" applyBorder="1" applyAlignment="1" applyProtection="1">
      <alignment vertical="center"/>
    </xf>
    <xf numFmtId="0" fontId="55" fillId="0" borderId="20" xfId="2" applyFont="1" applyFill="1" applyBorder="1" applyAlignment="1" applyProtection="1">
      <alignment vertical="center"/>
    </xf>
    <xf numFmtId="0" fontId="55" fillId="0" borderId="39" xfId="2" applyFont="1" applyFill="1" applyBorder="1" applyAlignment="1" applyProtection="1">
      <alignment vertical="center"/>
    </xf>
    <xf numFmtId="0" fontId="55" fillId="0" borderId="3" xfId="2" applyFont="1" applyFill="1" applyBorder="1" applyAlignment="1" applyProtection="1">
      <alignment vertical="center"/>
    </xf>
    <xf numFmtId="0" fontId="55" fillId="0" borderId="2" xfId="2" applyFont="1" applyFill="1" applyBorder="1" applyAlignment="1" applyProtection="1">
      <alignment vertical="center"/>
    </xf>
    <xf numFmtId="0" fontId="56" fillId="2" borderId="58" xfId="2" applyFont="1" applyFill="1" applyBorder="1" applyAlignment="1" applyProtection="1">
      <alignment horizontal="center" vertical="center"/>
      <protection locked="0"/>
    </xf>
    <xf numFmtId="0" fontId="56" fillId="2" borderId="59" xfId="2" applyFont="1" applyFill="1" applyBorder="1" applyAlignment="1" applyProtection="1">
      <alignment horizontal="center" vertical="center"/>
      <protection locked="0"/>
    </xf>
    <xf numFmtId="0" fontId="56" fillId="2" borderId="60" xfId="2" applyFont="1" applyFill="1" applyBorder="1" applyAlignment="1" applyProtection="1">
      <alignment horizontal="center" vertical="center"/>
      <protection locked="0"/>
    </xf>
    <xf numFmtId="49" fontId="55" fillId="3" borderId="39" xfId="0" quotePrefix="1" applyNumberFormat="1" applyFont="1" applyFill="1" applyBorder="1" applyAlignment="1" applyProtection="1">
      <alignment horizontal="center" vertical="center"/>
      <protection locked="0"/>
    </xf>
    <xf numFmtId="165" fontId="55" fillId="3" borderId="5" xfId="2" applyNumberFormat="1" applyFont="1" applyFill="1" applyBorder="1" applyAlignment="1" applyProtection="1">
      <alignment horizontal="center" vertical="center"/>
      <protection locked="0"/>
    </xf>
    <xf numFmtId="165" fontId="55" fillId="2" borderId="2" xfId="2" applyNumberFormat="1" applyFont="1" applyFill="1" applyBorder="1" applyAlignment="1" applyProtection="1">
      <alignment horizontal="center" vertical="center"/>
      <protection locked="0"/>
    </xf>
    <xf numFmtId="49" fontId="55" fillId="3" borderId="7" xfId="0" quotePrefix="1" applyNumberFormat="1" applyFont="1" applyFill="1" applyBorder="1" applyAlignment="1" applyProtection="1">
      <alignment horizontal="center" vertical="center"/>
      <protection locked="0"/>
    </xf>
    <xf numFmtId="49" fontId="55" fillId="3" borderId="30" xfId="0" quotePrefix="1" applyNumberFormat="1" applyFont="1" applyFill="1" applyBorder="1" applyAlignment="1" applyProtection="1">
      <alignment horizontal="center" vertical="center"/>
      <protection locked="0"/>
    </xf>
    <xf numFmtId="165" fontId="55" fillId="3" borderId="2" xfId="2" applyNumberFormat="1" applyFont="1" applyFill="1" applyBorder="1" applyAlignment="1" applyProtection="1">
      <alignment horizontal="center" vertical="center"/>
      <protection locked="0"/>
    </xf>
    <xf numFmtId="165" fontId="55" fillId="3" borderId="14" xfId="2" applyNumberFormat="1" applyFont="1" applyFill="1" applyBorder="1" applyAlignment="1" applyProtection="1">
      <alignment horizontal="center" vertical="center"/>
      <protection locked="0"/>
    </xf>
    <xf numFmtId="165" fontId="55" fillId="3" borderId="2" xfId="2" quotePrefix="1" applyNumberFormat="1" applyFont="1" applyFill="1" applyBorder="1" applyAlignment="1" applyProtection="1">
      <alignment horizontal="center" vertical="center"/>
      <protection locked="0"/>
    </xf>
    <xf numFmtId="0" fontId="55" fillId="3" borderId="3" xfId="2" applyFont="1" applyFill="1" applyBorder="1" applyAlignment="1" applyProtection="1">
      <alignment horizontal="left" vertical="center"/>
    </xf>
    <xf numFmtId="0" fontId="55" fillId="3" borderId="2" xfId="2" applyFont="1" applyFill="1" applyBorder="1" applyAlignment="1" applyProtection="1">
      <alignment horizontal="left" vertical="center"/>
    </xf>
    <xf numFmtId="0" fontId="55" fillId="0" borderId="6" xfId="2" applyFont="1" applyFill="1" applyBorder="1" applyAlignment="1" applyProtection="1">
      <alignment vertical="center"/>
    </xf>
    <xf numFmtId="0" fontId="55" fillId="0" borderId="7" xfId="2" applyFont="1" applyFill="1" applyBorder="1" applyAlignment="1" applyProtection="1">
      <alignment vertical="center"/>
    </xf>
    <xf numFmtId="0" fontId="69" fillId="4" borderId="62" xfId="0" applyFont="1" applyFill="1" applyBorder="1" applyAlignment="1" applyProtection="1">
      <alignment horizontal="center" vertical="center" wrapText="1"/>
      <protection locked="0"/>
    </xf>
    <xf numFmtId="0" fontId="69" fillId="4" borderId="63" xfId="0" applyFont="1" applyFill="1" applyBorder="1" applyAlignment="1" applyProtection="1">
      <alignment horizontal="center" vertical="center" wrapText="1"/>
      <protection locked="0"/>
    </xf>
    <xf numFmtId="0" fontId="69" fillId="4" borderId="79" xfId="0" applyFont="1" applyFill="1" applyBorder="1" applyAlignment="1" applyProtection="1">
      <alignment horizontal="center" vertical="center" wrapText="1"/>
      <protection locked="0"/>
    </xf>
    <xf numFmtId="0" fontId="82" fillId="3" borderId="82" xfId="0" applyFont="1" applyFill="1" applyBorder="1" applyAlignment="1" applyProtection="1">
      <alignment horizontal="left" vertical="center" wrapText="1"/>
      <protection locked="0"/>
    </xf>
    <xf numFmtId="0" fontId="82" fillId="3" borderId="63" xfId="0" applyFont="1" applyFill="1" applyBorder="1" applyAlignment="1" applyProtection="1">
      <alignment horizontal="left" vertical="center" wrapText="1"/>
      <protection locked="0"/>
    </xf>
    <xf numFmtId="0" fontId="82" fillId="3" borderId="64" xfId="0" applyFont="1" applyFill="1" applyBorder="1" applyAlignment="1" applyProtection="1">
      <alignment horizontal="left" vertical="center" wrapText="1"/>
      <protection locked="0"/>
    </xf>
    <xf numFmtId="0" fontId="83" fillId="4" borderId="76" xfId="0" applyFont="1" applyFill="1" applyBorder="1" applyAlignment="1" applyProtection="1">
      <alignment horizontal="center" vertical="center" wrapText="1"/>
      <protection locked="0"/>
    </xf>
    <xf numFmtId="0" fontId="83" fillId="4" borderId="67" xfId="0" applyFont="1" applyFill="1" applyBorder="1" applyAlignment="1" applyProtection="1">
      <alignment horizontal="center" vertical="center" wrapText="1"/>
      <protection locked="0"/>
    </xf>
    <xf numFmtId="0" fontId="83" fillId="4" borderId="83" xfId="0" applyFont="1" applyFill="1" applyBorder="1" applyAlignment="1" applyProtection="1">
      <alignment horizontal="center" vertical="center" wrapText="1"/>
      <protection locked="0"/>
    </xf>
    <xf numFmtId="0" fontId="82" fillId="0" borderId="73" xfId="0" applyFont="1" applyBorder="1" applyAlignment="1" applyProtection="1">
      <alignment horizontal="left" vertical="center" wrapText="1"/>
      <protection locked="0"/>
    </xf>
    <xf numFmtId="0" fontId="82" fillId="0" borderId="67" xfId="0" applyFont="1" applyBorder="1" applyAlignment="1" applyProtection="1">
      <alignment horizontal="left" vertical="center" wrapText="1"/>
      <protection locked="0"/>
    </xf>
    <xf numFmtId="0" fontId="82" fillId="0" borderId="68" xfId="0" applyFont="1" applyBorder="1" applyAlignment="1" applyProtection="1">
      <alignment horizontal="left" vertical="center" wrapText="1"/>
      <protection locked="0"/>
    </xf>
    <xf numFmtId="0" fontId="64" fillId="4" borderId="76" xfId="0" applyFont="1" applyFill="1" applyBorder="1" applyAlignment="1">
      <alignment horizontal="right" vertical="center"/>
    </xf>
    <xf numFmtId="0" fontId="64" fillId="4" borderId="67" xfId="0" applyFont="1" applyFill="1" applyBorder="1" applyAlignment="1">
      <alignment horizontal="right" vertical="center"/>
    </xf>
    <xf numFmtId="0" fontId="64" fillId="4" borderId="67" xfId="0" applyNumberFormat="1" applyFont="1" applyFill="1" applyBorder="1" applyAlignment="1">
      <alignment horizontal="left" vertical="center"/>
    </xf>
    <xf numFmtId="0" fontId="64" fillId="4" borderId="67" xfId="0" applyFont="1" applyFill="1" applyBorder="1" applyAlignment="1">
      <alignment horizontal="left" vertical="center"/>
    </xf>
    <xf numFmtId="0" fontId="81" fillId="3" borderId="2" xfId="0" applyFont="1" applyFill="1" applyBorder="1" applyAlignment="1" applyProtection="1">
      <alignment horizontal="center" vertical="center" wrapText="1"/>
      <protection locked="0"/>
    </xf>
    <xf numFmtId="0" fontId="65" fillId="0" borderId="14" xfId="0" applyFont="1" applyBorder="1" applyAlignment="1">
      <alignment horizontal="left" vertical="center" wrapText="1"/>
    </xf>
    <xf numFmtId="0" fontId="65" fillId="0" borderId="1" xfId="0" applyFont="1" applyBorder="1" applyAlignment="1">
      <alignment horizontal="left" vertical="center" wrapText="1"/>
    </xf>
    <xf numFmtId="0" fontId="65" fillId="0" borderId="15" xfId="0" applyFont="1" applyBorder="1" applyAlignment="1">
      <alignment horizontal="left" vertical="center" wrapText="1"/>
    </xf>
    <xf numFmtId="0" fontId="65" fillId="14" borderId="14" xfId="0" applyFont="1" applyFill="1" applyBorder="1" applyAlignment="1" applyProtection="1">
      <alignment horizontal="center" vertical="center" wrapText="1"/>
      <protection locked="0"/>
    </xf>
    <xf numFmtId="0" fontId="65" fillId="14" borderId="15" xfId="0" applyFont="1" applyFill="1" applyBorder="1" applyAlignment="1" applyProtection="1">
      <alignment horizontal="center" vertical="center" wrapText="1"/>
      <protection locked="0"/>
    </xf>
    <xf numFmtId="0" fontId="65" fillId="15" borderId="2" xfId="0" applyFont="1" applyFill="1" applyBorder="1" applyAlignment="1">
      <alignment horizontal="center" vertical="center"/>
    </xf>
    <xf numFmtId="0" fontId="65" fillId="15" borderId="2" xfId="0" applyFont="1" applyFill="1" applyBorder="1" applyAlignment="1" applyProtection="1">
      <alignment horizontal="center" vertical="center" wrapText="1"/>
      <protection locked="0"/>
    </xf>
    <xf numFmtId="0" fontId="65" fillId="15" borderId="2" xfId="0" applyFont="1" applyFill="1" applyBorder="1" applyAlignment="1" applyProtection="1">
      <alignment horizontal="left" vertical="center"/>
      <protection locked="0"/>
    </xf>
    <xf numFmtId="0" fontId="81" fillId="3" borderId="14" xfId="0" applyFont="1" applyFill="1" applyBorder="1" applyAlignment="1" applyProtection="1">
      <alignment horizontal="center" vertical="center" wrapText="1"/>
      <protection locked="0"/>
    </xf>
    <xf numFmtId="0" fontId="81" fillId="3" borderId="1" xfId="0" applyFont="1" applyFill="1" applyBorder="1" applyAlignment="1" applyProtection="1">
      <alignment horizontal="center" vertical="center" wrapText="1"/>
      <protection locked="0"/>
    </xf>
    <xf numFmtId="0" fontId="81" fillId="3" borderId="15" xfId="0" applyFont="1" applyFill="1" applyBorder="1" applyAlignment="1" applyProtection="1">
      <alignment horizontal="center" vertical="center" wrapText="1"/>
      <protection locked="0"/>
    </xf>
    <xf numFmtId="0" fontId="81" fillId="13" borderId="2" xfId="0" applyFont="1" applyFill="1" applyBorder="1" applyAlignment="1" applyProtection="1">
      <alignment horizontal="center" vertical="center" wrapText="1"/>
      <protection locked="0"/>
    </xf>
    <xf numFmtId="0" fontId="81" fillId="3" borderId="26" xfId="0" applyFont="1" applyFill="1" applyBorder="1" applyAlignment="1" applyProtection="1">
      <alignment horizontal="center" vertical="center" wrapText="1"/>
      <protection locked="0"/>
    </xf>
    <xf numFmtId="0" fontId="81" fillId="3" borderId="10" xfId="0" applyFont="1" applyFill="1" applyBorder="1" applyAlignment="1" applyProtection="1">
      <alignment horizontal="center" vertical="center" wrapText="1"/>
      <protection locked="0"/>
    </xf>
    <xf numFmtId="0" fontId="81" fillId="3" borderId="11" xfId="0" applyFont="1" applyFill="1" applyBorder="1" applyAlignment="1" applyProtection="1">
      <alignment horizontal="center" vertical="center" wrapText="1"/>
      <protection locked="0"/>
    </xf>
    <xf numFmtId="0" fontId="77" fillId="0" borderId="16" xfId="0" applyFont="1" applyBorder="1" applyAlignment="1">
      <alignment horizontal="center" vertical="center" wrapText="1"/>
    </xf>
    <xf numFmtId="0" fontId="77" fillId="0" borderId="8" xfId="0" applyFont="1" applyBorder="1" applyAlignment="1">
      <alignment horizontal="center" vertical="center" wrapText="1"/>
    </xf>
    <xf numFmtId="0" fontId="77" fillId="0" borderId="17" xfId="0" applyFont="1" applyBorder="1" applyAlignment="1">
      <alignment horizontal="center" vertical="center" wrapText="1"/>
    </xf>
    <xf numFmtId="0" fontId="77" fillId="0" borderId="9" xfId="0" applyFont="1" applyBorder="1" applyAlignment="1">
      <alignment horizontal="center" vertical="center" wrapText="1"/>
    </xf>
    <xf numFmtId="0" fontId="77" fillId="0" borderId="0" xfId="0" applyFont="1" applyAlignment="1">
      <alignment horizontal="center" vertical="center" wrapText="1"/>
    </xf>
    <xf numFmtId="0" fontId="77" fillId="0" borderId="18" xfId="0" applyFont="1" applyBorder="1" applyAlignment="1">
      <alignment horizontal="center" vertical="center" wrapText="1"/>
    </xf>
    <xf numFmtId="0" fontId="77" fillId="0" borderId="62" xfId="0" applyFont="1" applyBorder="1" applyAlignment="1">
      <alignment horizontal="center" vertical="center" wrapText="1"/>
    </xf>
    <xf numFmtId="0" fontId="77" fillId="0" borderId="63" xfId="0" applyFont="1" applyBorder="1" applyAlignment="1">
      <alignment horizontal="center" vertical="center" wrapText="1"/>
    </xf>
    <xf numFmtId="0" fontId="77" fillId="0" borderId="64" xfId="0" applyFont="1" applyBorder="1" applyAlignment="1">
      <alignment horizontal="center" vertical="center" wrapText="1"/>
    </xf>
    <xf numFmtId="172" fontId="79" fillId="13" borderId="76" xfId="0" applyNumberFormat="1" applyFont="1" applyFill="1" applyBorder="1" applyAlignment="1">
      <alignment horizontal="left" vertical="center"/>
    </xf>
    <xf numFmtId="172" fontId="79" fillId="13" borderId="67" xfId="0" applyNumberFormat="1" applyFont="1" applyFill="1" applyBorder="1" applyAlignment="1">
      <alignment horizontal="left" vertical="center"/>
    </xf>
    <xf numFmtId="0" fontId="65" fillId="0" borderId="9" xfId="0" applyFont="1" applyBorder="1" applyAlignment="1">
      <alignment horizontal="center" vertical="center"/>
    </xf>
    <xf numFmtId="0" fontId="65" fillId="0" borderId="0" xfId="0" applyFont="1" applyAlignment="1">
      <alignment horizontal="center" vertical="center"/>
    </xf>
    <xf numFmtId="0" fontId="65" fillId="0" borderId="18" xfId="0" applyFont="1" applyBorder="1" applyAlignment="1">
      <alignment horizontal="center" vertical="center"/>
    </xf>
    <xf numFmtId="173" fontId="80" fillId="13" borderId="61" xfId="0" applyNumberFormat="1" applyFont="1" applyFill="1" applyBorder="1" applyAlignment="1" applyProtection="1">
      <alignment horizontal="center" vertical="center"/>
      <protection locked="0"/>
    </xf>
    <xf numFmtId="173" fontId="80" fillId="13" borderId="59" xfId="0" applyNumberFormat="1" applyFont="1" applyFill="1" applyBorder="1" applyAlignment="1" applyProtection="1">
      <alignment horizontal="center" vertical="center"/>
      <protection locked="0"/>
    </xf>
    <xf numFmtId="173" fontId="80" fillId="13" borderId="60" xfId="0" applyNumberFormat="1" applyFont="1" applyFill="1" applyBorder="1" applyAlignment="1" applyProtection="1">
      <alignment horizontal="center" vertical="center"/>
      <protection locked="0"/>
    </xf>
    <xf numFmtId="0" fontId="81" fillId="0" borderId="26" xfId="0" applyFont="1" applyBorder="1" applyAlignment="1" applyProtection="1">
      <alignment horizontal="center" vertical="center" wrapText="1"/>
      <protection locked="0"/>
    </xf>
    <xf numFmtId="0" fontId="81" fillId="0" borderId="10" xfId="0" applyFont="1" applyBorder="1" applyAlignment="1" applyProtection="1">
      <alignment horizontal="center" vertical="center" wrapText="1"/>
      <protection locked="0"/>
    </xf>
    <xf numFmtId="0" fontId="81" fillId="13" borderId="10" xfId="0" applyFont="1" applyFill="1" applyBorder="1" applyAlignment="1" applyProtection="1">
      <alignment horizontal="center" vertical="center" wrapText="1"/>
      <protection locked="0"/>
    </xf>
    <xf numFmtId="0" fontId="81" fillId="0" borderId="11" xfId="0" applyFont="1" applyBorder="1" applyAlignment="1" applyProtection="1">
      <alignment horizontal="center" vertical="center" wrapText="1"/>
      <protection locked="0"/>
    </xf>
    <xf numFmtId="0" fontId="69" fillId="4" borderId="16" xfId="0" applyFont="1" applyFill="1" applyBorder="1" applyAlignment="1">
      <alignment horizontal="center" vertical="center"/>
    </xf>
    <xf numFmtId="0" fontId="69" fillId="4" borderId="9" xfId="0" applyFont="1" applyFill="1" applyBorder="1" applyAlignment="1">
      <alignment horizontal="center" vertical="center"/>
    </xf>
    <xf numFmtId="0" fontId="69" fillId="4" borderId="62" xfId="0" applyFont="1" applyFill="1" applyBorder="1" applyAlignment="1">
      <alignment horizontal="center" vertical="center"/>
    </xf>
    <xf numFmtId="0" fontId="69" fillId="4" borderId="7" xfId="0" applyFont="1" applyFill="1" applyBorder="1" applyAlignment="1">
      <alignment horizontal="center" vertical="center"/>
    </xf>
    <xf numFmtId="0" fontId="69" fillId="4" borderId="61" xfId="0" applyFont="1" applyFill="1" applyBorder="1" applyAlignment="1">
      <alignment horizontal="center" vertical="center"/>
    </xf>
    <xf numFmtId="0" fontId="69" fillId="4" borderId="2" xfId="0" applyFont="1" applyFill="1" applyBorder="1" applyAlignment="1">
      <alignment horizontal="center" vertical="center"/>
    </xf>
    <xf numFmtId="0" fontId="69" fillId="4" borderId="14" xfId="0" applyFont="1" applyFill="1" applyBorder="1" applyAlignment="1">
      <alignment horizontal="center" vertical="center"/>
    </xf>
    <xf numFmtId="0" fontId="69" fillId="4" borderId="5" xfId="0" applyFont="1" applyFill="1" applyBorder="1" applyAlignment="1">
      <alignment horizontal="center" vertical="center"/>
    </xf>
    <xf numFmtId="0" fontId="69" fillId="4" borderId="44" xfId="0" applyFont="1" applyFill="1" applyBorder="1" applyAlignment="1">
      <alignment horizontal="center" vertical="center"/>
    </xf>
    <xf numFmtId="0" fontId="69" fillId="4" borderId="8" xfId="0" applyFont="1" applyFill="1" applyBorder="1" applyAlignment="1">
      <alignment horizontal="center" vertical="center"/>
    </xf>
    <xf numFmtId="0" fontId="69" fillId="4" borderId="77" xfId="0" applyFont="1" applyFill="1" applyBorder="1" applyAlignment="1">
      <alignment horizontal="center" vertical="center"/>
    </xf>
    <xf numFmtId="0" fontId="69" fillId="4" borderId="0" xfId="0" applyFont="1" applyFill="1" applyAlignment="1">
      <alignment horizontal="center" vertical="center"/>
    </xf>
    <xf numFmtId="0" fontId="69" fillId="4" borderId="78" xfId="0" applyFont="1" applyFill="1" applyBorder="1" applyAlignment="1">
      <alignment horizontal="center" vertical="center"/>
    </xf>
    <xf numFmtId="0" fontId="69" fillId="4" borderId="17" xfId="0" applyFont="1" applyFill="1" applyBorder="1" applyAlignment="1">
      <alignment horizontal="center" vertical="center"/>
    </xf>
    <xf numFmtId="0" fontId="69" fillId="4" borderId="18" xfId="0" applyFont="1" applyFill="1" applyBorder="1" applyAlignment="1">
      <alignment horizontal="center" vertical="center"/>
    </xf>
    <xf numFmtId="0" fontId="69" fillId="4" borderId="63" xfId="0" applyFont="1" applyFill="1" applyBorder="1" applyAlignment="1">
      <alignment horizontal="center" vertical="center"/>
    </xf>
    <xf numFmtId="0" fontId="69" fillId="4" borderId="64" xfId="0" applyFont="1" applyFill="1" applyBorder="1" applyAlignment="1">
      <alignment horizontal="center" vertical="center"/>
    </xf>
    <xf numFmtId="0" fontId="69" fillId="4" borderId="5" xfId="0" applyFont="1" applyFill="1" applyBorder="1" applyAlignment="1">
      <alignment horizontal="center" vertical="center" wrapText="1"/>
    </xf>
    <xf numFmtId="49" fontId="73" fillId="4" borderId="37" xfId="0" applyNumberFormat="1" applyFont="1" applyFill="1" applyBorder="1" applyAlignment="1">
      <alignment horizontal="center" vertical="center"/>
    </xf>
    <xf numFmtId="49" fontId="73" fillId="4" borderId="35" xfId="0" applyNumberFormat="1" applyFont="1" applyFill="1" applyBorder="1" applyAlignment="1">
      <alignment horizontal="center" vertical="center"/>
    </xf>
    <xf numFmtId="49" fontId="73" fillId="4" borderId="36" xfId="0" applyNumberFormat="1" applyFont="1" applyFill="1" applyBorder="1" applyAlignment="1">
      <alignment horizontal="center" vertical="center"/>
    </xf>
    <xf numFmtId="49" fontId="73" fillId="4" borderId="20" xfId="0" applyNumberFormat="1" applyFont="1" applyFill="1" applyBorder="1" applyAlignment="1">
      <alignment horizontal="center" vertical="center"/>
    </xf>
    <xf numFmtId="49" fontId="73" fillId="4" borderId="29" xfId="0" applyNumberFormat="1" applyFont="1" applyFill="1" applyBorder="1" applyAlignment="1">
      <alignment horizontal="center" vertical="center"/>
    </xf>
    <xf numFmtId="49" fontId="73" fillId="4" borderId="42" xfId="0" applyNumberFormat="1" applyFont="1" applyFill="1" applyBorder="1" applyAlignment="1">
      <alignment horizontal="center" vertical="center"/>
    </xf>
    <xf numFmtId="49" fontId="73" fillId="4" borderId="6" xfId="0" applyNumberFormat="1" applyFont="1" applyFill="1" applyBorder="1" applyAlignment="1">
      <alignment horizontal="center" vertical="center"/>
    </xf>
    <xf numFmtId="49" fontId="73" fillId="4" borderId="3" xfId="0" applyNumberFormat="1" applyFont="1" applyFill="1" applyBorder="1" applyAlignment="1">
      <alignment horizontal="center" vertical="center"/>
    </xf>
    <xf numFmtId="49" fontId="73" fillId="4" borderId="4" xfId="0" applyNumberFormat="1" applyFont="1" applyFill="1" applyBorder="1" applyAlignment="1">
      <alignment horizontal="center" vertical="center"/>
    </xf>
    <xf numFmtId="0" fontId="18" fillId="0" borderId="14" xfId="0" applyFont="1" applyFill="1" applyBorder="1" applyAlignment="1" applyProtection="1">
      <alignment horizontal="center" vertical="center"/>
      <protection locked="0"/>
    </xf>
    <xf numFmtId="0" fontId="18" fillId="0" borderId="15" xfId="0" applyFont="1" applyFill="1" applyBorder="1" applyAlignment="1" applyProtection="1">
      <alignment horizontal="center" vertical="center"/>
      <protection locked="0"/>
    </xf>
    <xf numFmtId="0" fontId="35" fillId="0" borderId="44" xfId="0" applyFont="1" applyFill="1" applyBorder="1" applyAlignment="1" applyProtection="1">
      <alignment horizontal="center" vertical="center"/>
      <protection locked="0"/>
    </xf>
    <xf numFmtId="0" fontId="35" fillId="0" borderId="45" xfId="0" applyFont="1" applyFill="1" applyBorder="1" applyAlignment="1" applyProtection="1">
      <alignment horizontal="center" vertical="center"/>
      <protection locked="0"/>
    </xf>
    <xf numFmtId="0" fontId="35" fillId="0" borderId="46" xfId="0" applyFont="1" applyFill="1" applyBorder="1" applyAlignment="1" applyProtection="1">
      <alignment horizontal="center" vertical="center"/>
      <protection locked="0"/>
    </xf>
    <xf numFmtId="0" fontId="55" fillId="0" borderId="70" xfId="0" applyFont="1" applyFill="1" applyBorder="1" applyAlignment="1" applyProtection="1">
      <alignment horizontal="center" vertical="center"/>
      <protection locked="0"/>
    </xf>
    <xf numFmtId="0" fontId="55" fillId="0" borderId="2" xfId="0" applyFont="1" applyFill="1" applyBorder="1" applyAlignment="1" applyProtection="1">
      <alignment horizontal="center" vertical="center"/>
      <protection locked="0"/>
    </xf>
    <xf numFmtId="12" fontId="55" fillId="0" borderId="2" xfId="0" applyNumberFormat="1" applyFont="1" applyFill="1" applyBorder="1" applyAlignment="1" applyProtection="1">
      <alignment horizontal="center" vertical="center"/>
      <protection locked="0"/>
    </xf>
    <xf numFmtId="165" fontId="55" fillId="0" borderId="2" xfId="0" applyNumberFormat="1" applyFont="1" applyFill="1" applyBorder="1" applyAlignment="1" applyProtection="1">
      <alignment horizontal="center" vertical="center"/>
      <protection locked="0"/>
    </xf>
    <xf numFmtId="12" fontId="55" fillId="0" borderId="32" xfId="0" applyNumberFormat="1" applyFont="1" applyFill="1" applyBorder="1" applyAlignment="1" applyProtection="1">
      <alignment horizontal="center" vertical="center"/>
      <protection locked="0"/>
    </xf>
    <xf numFmtId="2" fontId="52" fillId="0" borderId="71" xfId="2" applyNumberFormat="1" applyFont="1" applyFill="1" applyBorder="1" applyAlignment="1" applyProtection="1">
      <alignment horizontal="center" vertical="center"/>
      <protection locked="0"/>
    </xf>
    <xf numFmtId="2" fontId="52" fillId="0" borderId="15" xfId="2" applyNumberFormat="1" applyFont="1" applyFill="1" applyBorder="1" applyAlignment="1" applyProtection="1">
      <alignment horizontal="center" vertical="center"/>
      <protection locked="0"/>
    </xf>
    <xf numFmtId="12" fontId="40" fillId="0" borderId="2" xfId="0" applyNumberFormat="1" applyFont="1" applyFill="1" applyBorder="1" applyAlignment="1" applyProtection="1">
      <alignment horizontal="center" vertical="center"/>
      <protection locked="0"/>
    </xf>
    <xf numFmtId="12" fontId="40" fillId="0" borderId="2" xfId="0" quotePrefix="1" applyNumberFormat="1" applyFont="1" applyFill="1" applyBorder="1" applyAlignment="1" applyProtection="1">
      <alignment horizontal="center" vertical="center"/>
      <protection locked="0"/>
    </xf>
    <xf numFmtId="165" fontId="40" fillId="0" borderId="2" xfId="0" applyNumberFormat="1" applyFont="1" applyFill="1" applyBorder="1" applyAlignment="1" applyProtection="1">
      <alignment horizontal="center" vertical="center"/>
      <protection locked="0"/>
    </xf>
    <xf numFmtId="12" fontId="40" fillId="0" borderId="32" xfId="0" applyNumberFormat="1" applyFont="1" applyFill="1" applyBorder="1" applyAlignment="1" applyProtection="1">
      <alignment horizontal="center" vertical="center"/>
      <protection locked="0"/>
    </xf>
    <xf numFmtId="2" fontId="13" fillId="0" borderId="72" xfId="2" applyNumberFormat="1" applyFont="1" applyFill="1" applyBorder="1" applyAlignment="1" applyProtection="1">
      <alignment horizontal="center" vertical="center"/>
      <protection locked="0"/>
    </xf>
    <xf numFmtId="2" fontId="13" fillId="0" borderId="46" xfId="2" applyNumberFormat="1" applyFont="1" applyFill="1" applyBorder="1" applyAlignment="1" applyProtection="1">
      <alignment horizontal="center" vertical="center"/>
      <protection locked="0"/>
    </xf>
    <xf numFmtId="1" fontId="41" fillId="0" borderId="5" xfId="2" applyNumberFormat="1" applyFont="1" applyFill="1" applyBorder="1" applyAlignment="1" applyProtection="1">
      <alignment horizontal="center" vertical="center"/>
      <protection locked="0"/>
    </xf>
    <xf numFmtId="12" fontId="29" fillId="0" borderId="38" xfId="0" applyNumberFormat="1" applyFont="1" applyFill="1" applyBorder="1" applyAlignment="1" applyProtection="1">
      <alignment horizontal="center" vertical="center"/>
      <protection locked="0"/>
    </xf>
  </cellXfs>
  <cellStyles count="9">
    <cellStyle name="Normal" xfId="0" builtinId="0"/>
    <cellStyle name="Normal 2" xfId="1" xr:uid="{00000000-0005-0000-0000-000001000000}"/>
    <cellStyle name="Normal 2 2" xfId="5" xr:uid="{00000000-0005-0000-0000-000002000000}"/>
    <cellStyle name="Normal 3" xfId="2" xr:uid="{00000000-0005-0000-0000-000003000000}"/>
    <cellStyle name="Normal 3 2" xfId="3" xr:uid="{00000000-0005-0000-0000-000004000000}"/>
    <cellStyle name="Normal 3 2 2 2" xfId="8" xr:uid="{00000000-0005-0000-0000-000005000000}"/>
    <cellStyle name="Normal 3 2 2 2 2 2" xfId="6" xr:uid="{00000000-0005-0000-0000-000006000000}"/>
    <cellStyle name="Normal 3 2 2 2 2 2 2" xfId="7" xr:uid="{00000000-0005-0000-0000-000007000000}"/>
    <cellStyle name="Normal 4" xfId="4" xr:uid="{00000000-0005-0000-0000-000008000000}"/>
  </cellStyles>
  <dxfs count="23">
    <dxf>
      <font>
        <strike val="0"/>
        <outline val="0"/>
        <shadow val="0"/>
        <u val="none"/>
        <vertAlign val="baseline"/>
        <sz val="11"/>
        <color theme="1"/>
        <name val="Cambria"/>
        <scheme val="major"/>
      </font>
      <alignment horizontal="center" vertical="center" textRotation="0" wrapText="0" indent="0" justifyLastLine="0" shrinkToFit="0" readingOrder="0"/>
      <border diagonalUp="0" diagonalDown="0" outline="0">
        <left style="thin">
          <color auto="1"/>
        </left>
        <right style="medium">
          <color auto="1"/>
        </right>
        <top/>
        <bottom/>
      </border>
    </dxf>
    <dxf>
      <font>
        <strike val="0"/>
        <outline val="0"/>
        <shadow val="0"/>
        <u val="none"/>
        <vertAlign val="baseline"/>
        <sz val="11"/>
        <color theme="1"/>
        <name val="Cambria"/>
        <scheme val="major"/>
      </font>
      <numFmt numFmtId="30" formatCode="@"/>
      <alignment horizontal="center" vertical="center" textRotation="0" wrapText="0" indent="0" justifyLastLine="0" shrinkToFit="0" readingOrder="0"/>
      <border diagonalUp="0" diagonalDown="0">
        <left style="thin">
          <color auto="1"/>
        </left>
        <right style="medium">
          <color auto="1"/>
        </right>
        <top style="thin">
          <color auto="1"/>
        </top>
        <bottom style="thin">
          <color auto="1"/>
        </bottom>
        <vertical style="thin">
          <color auto="1"/>
        </vertical>
        <horizontal style="thin">
          <color auto="1"/>
        </horizontal>
      </border>
      <protection locked="0" hidden="0"/>
    </dxf>
    <dxf>
      <font>
        <strike val="0"/>
        <outline val="0"/>
        <shadow val="0"/>
        <u val="none"/>
        <vertAlign val="baseline"/>
        <sz val="11"/>
        <color theme="1"/>
        <name val="Cambria"/>
        <scheme val="major"/>
      </font>
      <alignment horizontal="center" vertical="center" textRotation="0" wrapText="0" indent="0" justifyLastLine="0" shrinkToFit="0" readingOrder="0"/>
      <border diagonalUp="0" diagonalDown="0" outline="0">
        <left style="thin">
          <color auto="1"/>
        </left>
        <right style="thin">
          <color auto="1"/>
        </right>
        <top/>
        <bottom/>
      </border>
    </dxf>
    <dxf>
      <font>
        <strike val="0"/>
        <outline val="0"/>
        <shadow val="0"/>
        <u val="none"/>
        <vertAlign val="baseline"/>
        <sz val="11"/>
        <color theme="1"/>
        <name val="Cambria"/>
        <scheme val="major"/>
      </font>
      <numFmt numFmtId="165" formatCode="0.0"/>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style="thin">
          <color auto="1"/>
        </vertical>
        <horizontal style="thin">
          <color auto="1"/>
        </horizontal>
      </border>
      <protection locked="0" hidden="0"/>
    </dxf>
    <dxf>
      <font>
        <strike val="0"/>
        <outline val="0"/>
        <shadow val="0"/>
        <u val="none"/>
        <vertAlign val="baseline"/>
        <sz val="11"/>
        <color theme="1"/>
        <name val="Cambria"/>
        <scheme val="major"/>
      </font>
      <alignment horizontal="center" vertical="center" textRotation="0" wrapText="0" indent="0" justifyLastLine="0" shrinkToFit="0" readingOrder="0"/>
      <border diagonalUp="0" diagonalDown="0" outline="0">
        <left style="thin">
          <color auto="1"/>
        </left>
        <right style="thin">
          <color auto="1"/>
        </right>
        <top/>
        <bottom/>
      </border>
    </dxf>
    <dxf>
      <font>
        <strike val="0"/>
        <outline val="0"/>
        <shadow val="0"/>
        <u val="none"/>
        <vertAlign val="baseline"/>
        <sz val="11"/>
        <color theme="1"/>
        <name val="Cambria"/>
        <scheme val="major"/>
      </font>
      <numFmt numFmtId="30" formatCode="@"/>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style="thin">
          <color auto="1"/>
        </vertical>
        <horizontal style="thin">
          <color auto="1"/>
        </horizontal>
      </border>
      <protection locked="0" hidden="0"/>
    </dxf>
    <dxf>
      <font>
        <strike val="0"/>
        <outline val="0"/>
        <shadow val="0"/>
        <u val="none"/>
        <vertAlign val="baseline"/>
        <sz val="11"/>
        <color theme="1"/>
        <name val="Cambria"/>
        <scheme val="major"/>
      </font>
      <alignment horizontal="center" vertical="center" textRotation="0" wrapText="0" indent="0" justifyLastLine="0" shrinkToFit="0" readingOrder="0"/>
      <border diagonalUp="0" diagonalDown="0" outline="0">
        <left style="thin">
          <color auto="1"/>
        </left>
        <right style="thin">
          <color auto="1"/>
        </right>
        <top/>
        <bottom/>
      </border>
    </dxf>
    <dxf>
      <font>
        <strike val="0"/>
        <outline val="0"/>
        <shadow val="0"/>
        <u val="none"/>
        <vertAlign val="baseline"/>
        <sz val="11"/>
        <color theme="1"/>
        <name val="Cambria"/>
        <scheme val="major"/>
      </font>
      <numFmt numFmtId="30" formatCode="@"/>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style="thin">
          <color auto="1"/>
        </vertical>
        <horizontal style="thin">
          <color auto="1"/>
        </horizontal>
      </border>
      <protection locked="0" hidden="0"/>
    </dxf>
    <dxf>
      <font>
        <strike val="0"/>
        <outline val="0"/>
        <shadow val="0"/>
        <u val="none"/>
        <vertAlign val="baseline"/>
        <sz val="11"/>
        <color theme="1"/>
        <name val="Cambria"/>
        <scheme val="major"/>
      </font>
      <alignment horizontal="center" vertical="center" textRotation="0" wrapText="0" indent="0" justifyLastLine="0" shrinkToFit="0" readingOrder="0"/>
      <border diagonalUp="0" diagonalDown="0" outline="0">
        <left style="thin">
          <color auto="1"/>
        </left>
        <right style="thin">
          <color auto="1"/>
        </right>
        <top/>
        <bottom/>
      </border>
    </dxf>
    <dxf>
      <font>
        <strike val="0"/>
        <outline val="0"/>
        <shadow val="0"/>
        <u val="none"/>
        <vertAlign val="baseline"/>
        <sz val="11"/>
        <color theme="1"/>
        <name val="Cambria"/>
        <scheme val="major"/>
      </font>
      <numFmt numFmtId="165" formatCode="0.0"/>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style="thin">
          <color auto="1"/>
        </vertical>
        <horizontal style="thin">
          <color auto="1"/>
        </horizontal>
      </border>
      <protection locked="0" hidden="0"/>
    </dxf>
    <dxf>
      <font>
        <strike val="0"/>
        <outline val="0"/>
        <shadow val="0"/>
        <u val="none"/>
        <vertAlign val="baseline"/>
        <sz val="11"/>
        <color theme="1"/>
        <name val="Cambria"/>
        <scheme val="major"/>
      </font>
      <alignment horizontal="center" vertical="center" textRotation="0" wrapText="0" indent="0" justifyLastLine="0" shrinkToFit="0" readingOrder="0"/>
      <border diagonalUp="0" diagonalDown="0" outline="0">
        <left style="thin">
          <color auto="1"/>
        </left>
        <right style="thin">
          <color auto="1"/>
        </right>
        <top/>
        <bottom/>
      </border>
    </dxf>
    <dxf>
      <font>
        <strike val="0"/>
        <outline val="0"/>
        <shadow val="0"/>
        <u val="none"/>
        <vertAlign val="baseline"/>
        <sz val="11"/>
        <color theme="1"/>
        <name val="Cambria"/>
        <scheme val="major"/>
      </font>
      <numFmt numFmtId="171" formatCode="[$-160429]dd/mm/yyyy;@"/>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style="thin">
          <color auto="1"/>
        </vertical>
        <horizontal style="thin">
          <color auto="1"/>
        </horizontal>
      </border>
      <protection locked="0" hidden="0"/>
    </dxf>
    <dxf>
      <font>
        <strike val="0"/>
        <outline val="0"/>
        <shadow val="0"/>
        <u val="none"/>
        <vertAlign val="baseline"/>
        <sz val="11"/>
        <color theme="1"/>
        <name val="Cambria"/>
        <scheme val="major"/>
      </font>
      <alignment horizontal="center" vertical="center" textRotation="0" wrapText="0" indent="0" justifyLastLine="0" shrinkToFit="0" readingOrder="0"/>
      <border diagonalUp="0" diagonalDown="0" outline="0">
        <left style="thin">
          <color auto="1"/>
        </left>
        <right style="thin">
          <color auto="1"/>
        </right>
        <top/>
        <bottom/>
      </border>
    </dxf>
    <dxf>
      <font>
        <strike val="0"/>
        <outline val="0"/>
        <shadow val="0"/>
        <u val="none"/>
        <vertAlign val="baseline"/>
        <sz val="11"/>
        <color theme="1"/>
        <name val="Cambria"/>
        <scheme val="major"/>
      </font>
      <numFmt numFmtId="171" formatCode="[$-160429]dd/mm/yyyy;@"/>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style="thin">
          <color auto="1"/>
        </vertical>
        <horizontal style="thin">
          <color auto="1"/>
        </horizontal>
      </border>
      <protection locked="0" hidden="0"/>
    </dxf>
    <dxf>
      <font>
        <strike val="0"/>
        <outline val="0"/>
        <shadow val="0"/>
        <u val="none"/>
        <vertAlign val="baseline"/>
        <sz val="11"/>
        <color theme="1"/>
        <name val="Cambria"/>
        <scheme val="major"/>
      </font>
      <alignment horizontal="center" vertical="center" textRotation="0" wrapText="0" indent="0" justifyLastLine="0" shrinkToFit="0" readingOrder="0"/>
      <border diagonalUp="0" diagonalDown="0" outline="0">
        <left style="thin">
          <color auto="1"/>
        </left>
        <right style="thin">
          <color auto="1"/>
        </right>
        <top/>
        <bottom/>
      </border>
    </dxf>
    <dxf>
      <font>
        <strike val="0"/>
        <outline val="0"/>
        <shadow val="0"/>
        <u val="none"/>
        <vertAlign val="baseline"/>
        <sz val="11"/>
        <color theme="1"/>
        <name val="Cambria"/>
        <scheme val="major"/>
      </font>
      <numFmt numFmtId="30" formatCode="@"/>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style="thin">
          <color auto="1"/>
        </vertical>
        <horizontal style="thin">
          <color auto="1"/>
        </horizontal>
      </border>
      <protection locked="0" hidden="0"/>
    </dxf>
    <dxf>
      <font>
        <strike val="0"/>
        <outline val="0"/>
        <shadow val="0"/>
        <u val="none"/>
        <vertAlign val="baseline"/>
        <sz val="11"/>
        <color theme="1"/>
        <name val="Cambria"/>
        <scheme val="major"/>
      </font>
      <alignment horizontal="center" vertical="center" textRotation="0" wrapText="0" indent="0" justifyLastLine="0" shrinkToFit="0" readingOrder="0"/>
      <border diagonalUp="0" diagonalDown="0" outline="0">
        <left style="thin">
          <color auto="1"/>
        </left>
        <right style="thin">
          <color auto="1"/>
        </right>
        <top/>
        <bottom/>
      </border>
    </dxf>
    <dxf>
      <font>
        <strike val="0"/>
        <outline val="0"/>
        <shadow val="0"/>
        <u val="none"/>
        <vertAlign val="baseline"/>
        <sz val="11"/>
        <color theme="1"/>
        <name val="Cambria"/>
        <scheme val="major"/>
      </font>
      <numFmt numFmtId="30" formatCode="@"/>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style="thin">
          <color auto="1"/>
        </vertical>
        <horizontal style="thin">
          <color auto="1"/>
        </horizontal>
      </border>
      <protection locked="0" hidden="0"/>
    </dxf>
    <dxf>
      <font>
        <strike val="0"/>
        <outline val="0"/>
        <shadow val="0"/>
        <u val="none"/>
        <vertAlign val="baseline"/>
        <sz val="11"/>
        <color theme="1"/>
        <name val="Cambria"/>
        <scheme val="major"/>
      </font>
      <alignment horizontal="center" vertical="center" textRotation="0" wrapText="0" indent="0" justifyLastLine="0" shrinkToFit="0" readingOrder="0"/>
      <border diagonalUp="0" diagonalDown="0" outline="0">
        <left style="medium">
          <color auto="1"/>
        </left>
        <right style="thin">
          <color auto="1"/>
        </right>
        <top/>
        <bottom/>
      </border>
    </dxf>
    <dxf>
      <font>
        <strike val="0"/>
        <outline val="0"/>
        <shadow val="0"/>
        <u val="none"/>
        <vertAlign val="baseline"/>
        <sz val="11"/>
        <color theme="1"/>
        <name val="Cambria"/>
        <scheme val="major"/>
      </font>
      <numFmt numFmtId="30" formatCode="@"/>
      <alignment horizontal="center" vertical="center" textRotation="0" wrapText="0" indent="0" justifyLastLine="0" shrinkToFit="0" readingOrder="0"/>
      <border diagonalUp="0" diagonalDown="0">
        <left style="medium">
          <color auto="1"/>
        </left>
        <right style="thin">
          <color auto="1"/>
        </right>
        <top style="thin">
          <color auto="1"/>
        </top>
        <bottom style="thin">
          <color auto="1"/>
        </bottom>
        <vertical style="thin">
          <color auto="1"/>
        </vertical>
        <horizontal style="thin">
          <color auto="1"/>
        </horizontal>
      </border>
      <protection locked="0" hidden="0"/>
    </dxf>
    <dxf>
      <font>
        <strike val="0"/>
        <outline val="0"/>
        <shadow val="0"/>
        <u val="none"/>
        <vertAlign val="baseline"/>
        <sz val="11"/>
        <color theme="1"/>
        <name val="Cambria"/>
        <scheme val="major"/>
      </font>
      <alignment horizontal="center" vertical="center" textRotation="0" wrapText="0" indent="0" justifyLastLine="0" shrinkToFit="0" readingOrder="0"/>
      <protection locked="0" hidden="0"/>
    </dxf>
    <dxf>
      <border>
        <bottom style="medium">
          <color indexed="64"/>
        </bottom>
      </border>
    </dxf>
    <dxf>
      <font>
        <strike val="0"/>
        <outline val="0"/>
        <shadow val="0"/>
        <u val="none"/>
        <vertAlign val="baseline"/>
        <sz val="26"/>
        <color auto="1"/>
        <name val="Arial"/>
        <family val="2"/>
        <scheme val="none"/>
      </font>
      <fill>
        <patternFill patternType="solid">
          <fgColor indexed="64"/>
          <bgColor theme="3" tint="0.59999389629810485"/>
        </patternFill>
      </fill>
      <alignment horizontal="center" vertical="center" textRotation="0" wrapText="0" indent="0" justifyLastLine="0" shrinkToFit="0" readingOrder="0"/>
      <border diagonalUp="0" diagonalDown="0" outline="0">
        <left style="thin">
          <color indexed="64"/>
        </left>
        <right style="thin">
          <color indexed="64"/>
        </right>
        <top/>
        <bottom/>
      </border>
      <protection locked="1" hidden="0"/>
    </dxf>
  </dxfs>
  <tableStyles count="0" defaultTableStyle="TableStyleMedium9" defaultPivotStyle="PivotStyleLight16"/>
  <colors>
    <mruColors>
      <color rgb="FFF6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r>
              <a:rPr lang="en-US"/>
              <a:t>status </a:t>
            </a:r>
          </a:p>
        </c:rich>
      </c:tx>
      <c:overlay val="0"/>
      <c:spPr>
        <a:noFill/>
        <a:ln>
          <a:noFill/>
        </a:ln>
        <a:effectLst/>
      </c:spPr>
      <c:txPr>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3319227647490448"/>
          <c:y val="0.17252853123481554"/>
          <c:w val="0.82206778256517976"/>
          <c:h val="0.69818005062860988"/>
        </c:manualLayout>
      </c:layout>
      <c:pieChart>
        <c:varyColors val="1"/>
        <c:dLbls>
          <c:dLblPos val="outEnd"/>
          <c:showLegendKey val="0"/>
          <c:showVal val="0"/>
          <c:showCatName val="1"/>
          <c:showSerName val="0"/>
          <c:showPercent val="1"/>
          <c:showBubbleSize val="0"/>
          <c:showLeaderLines val="0"/>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9.1054183813230483E-3"/>
          <c:y val="2.1434826102874692E-2"/>
          <c:w val="0.67897136432123484"/>
          <c:h val="0.97525006925954205"/>
        </c:manualLayout>
      </c:layout>
      <c:pieChart>
        <c:varyColors val="1"/>
        <c:dLbls>
          <c:showLegendKey val="0"/>
          <c:showVal val="0"/>
          <c:showCatName val="0"/>
          <c:showSerName val="0"/>
          <c:showPercent val="0"/>
          <c:showBubbleSize val="0"/>
          <c:showLeaderLines val="0"/>
        </c:dLbls>
        <c:firstSliceAng val="270"/>
      </c:pieChart>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4.png"/><Relationship Id="rId5" Type="http://schemas.openxmlformats.org/officeDocument/2006/relationships/image" Target="../media/image3.png"/><Relationship Id="rId4" Type="http://schemas.openxmlformats.org/officeDocument/2006/relationships/image" Target="../media/image2.png"/></Relationships>
</file>

<file path=xl/drawings/_rels/drawing2.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image" Target="../media/image6.jpg"/><Relationship Id="rId1" Type="http://schemas.openxmlformats.org/officeDocument/2006/relationships/image" Target="../media/image5.png"/><Relationship Id="rId4" Type="http://schemas.openxmlformats.org/officeDocument/2006/relationships/image" Target="../media/image2.png"/></Relationships>
</file>

<file path=xl/drawings/_rels/drawing3.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7.jpg"/><Relationship Id="rId4" Type="http://schemas.openxmlformats.org/officeDocument/2006/relationships/image" Target="../media/image4.png"/></Relationships>
</file>

<file path=xl/drawings/_rels/drawing5.xml.rels><?xml version="1.0" encoding="UTF-8" standalone="yes"?>
<Relationships xmlns="http://schemas.openxmlformats.org/package/2006/relationships"><Relationship Id="rId1" Type="http://schemas.openxmlformats.org/officeDocument/2006/relationships/hyperlink" Target="https://yektanet.com/?utm_source=PublisherBranding&amp;utm_medium=banner&amp;utm_term=300_250" TargetMode="External"/></Relationships>
</file>

<file path=xl/drawings/drawing1.xml><?xml version="1.0" encoding="utf-8"?>
<xdr:wsDr xmlns:xdr="http://schemas.openxmlformats.org/drawingml/2006/spreadsheetDrawing" xmlns:a="http://schemas.openxmlformats.org/drawingml/2006/main">
  <xdr:twoCellAnchor>
    <xdr:from>
      <xdr:col>54</xdr:col>
      <xdr:colOff>228595</xdr:colOff>
      <xdr:row>14</xdr:row>
      <xdr:rowOff>58534</xdr:rowOff>
    </xdr:from>
    <xdr:to>
      <xdr:col>63</xdr:col>
      <xdr:colOff>217775</xdr:colOff>
      <xdr:row>20</xdr:row>
      <xdr:rowOff>112020</xdr:rowOff>
    </xdr:to>
    <xdr:graphicFrame macro="">
      <xdr:nvGraphicFramePr>
        <xdr:cNvPr id="8" name="Chart 7">
          <a:extLst>
            <a:ext uri="{FF2B5EF4-FFF2-40B4-BE49-F238E27FC236}">
              <a16:creationId xmlns:a16="http://schemas.microsoft.com/office/drawing/2014/main" id="{00000000-0008-0000-0000-00000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58</xdr:col>
      <xdr:colOff>95250</xdr:colOff>
      <xdr:row>6</xdr:row>
      <xdr:rowOff>40823</xdr:rowOff>
    </xdr:from>
    <xdr:to>
      <xdr:col>63</xdr:col>
      <xdr:colOff>587374</xdr:colOff>
      <xdr:row>15</xdr:row>
      <xdr:rowOff>0</xdr:rowOff>
    </xdr:to>
    <xdr:graphicFrame macro="">
      <xdr:nvGraphicFramePr>
        <xdr:cNvPr id="10" name="Chart 9">
          <a:extLst>
            <a:ext uri="{FF2B5EF4-FFF2-40B4-BE49-F238E27FC236}">
              <a16:creationId xmlns:a16="http://schemas.microsoft.com/office/drawing/2014/main" id="{00000000-0008-0000-00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142875</xdr:colOff>
      <xdr:row>0</xdr:row>
      <xdr:rowOff>285752</xdr:rowOff>
    </xdr:from>
    <xdr:to>
      <xdr:col>6</xdr:col>
      <xdr:colOff>642937</xdr:colOff>
      <xdr:row>3</xdr:row>
      <xdr:rowOff>285750</xdr:rowOff>
    </xdr:to>
    <xdr:pic>
      <xdr:nvPicPr>
        <xdr:cNvPr id="9" name="Picture 8">
          <a:extLst>
            <a:ext uri="{FF2B5EF4-FFF2-40B4-BE49-F238E27FC236}">
              <a16:creationId xmlns:a16="http://schemas.microsoft.com/office/drawing/2014/main" id="{00000000-0008-0000-0000-00000900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42875" y="285752"/>
          <a:ext cx="4333875" cy="1571623"/>
        </a:xfrm>
        <a:prstGeom prst="rect">
          <a:avLst/>
        </a:prstGeom>
      </xdr:spPr>
    </xdr:pic>
    <xdr:clientData/>
  </xdr:twoCellAnchor>
  <xdr:twoCellAnchor editAs="oneCell">
    <xdr:from>
      <xdr:col>2</xdr:col>
      <xdr:colOff>176212</xdr:colOff>
      <xdr:row>3</xdr:row>
      <xdr:rowOff>285749</xdr:rowOff>
    </xdr:from>
    <xdr:to>
      <xdr:col>4</xdr:col>
      <xdr:colOff>309563</xdr:colOff>
      <xdr:row>7</xdr:row>
      <xdr:rowOff>238126</xdr:rowOff>
    </xdr:to>
    <xdr:pic>
      <xdr:nvPicPr>
        <xdr:cNvPr id="11" name="Picture 10">
          <a:extLst>
            <a:ext uri="{FF2B5EF4-FFF2-40B4-BE49-F238E27FC236}">
              <a16:creationId xmlns:a16="http://schemas.microsoft.com/office/drawing/2014/main" id="{00000000-0008-0000-0000-00000B000000}"/>
            </a:ext>
          </a:extLst>
        </xdr:cNvPr>
        <xdr:cNvPicPr>
          <a:picLocks noChangeAspect="1"/>
        </xdr:cNvPicPr>
      </xdr:nvPicPr>
      <xdr:blipFill>
        <a:blip xmlns:r="http://schemas.openxmlformats.org/officeDocument/2006/relationships" r:embed="rId4"/>
        <a:stretch>
          <a:fillRect/>
        </a:stretch>
      </xdr:blipFill>
      <xdr:spPr>
        <a:xfrm>
          <a:off x="1700212" y="1857374"/>
          <a:ext cx="1466851" cy="1952627"/>
        </a:xfrm>
        <a:prstGeom prst="rect">
          <a:avLst/>
        </a:prstGeom>
      </xdr:spPr>
    </xdr:pic>
    <xdr:clientData/>
  </xdr:twoCellAnchor>
  <xdr:twoCellAnchor editAs="oneCell">
    <xdr:from>
      <xdr:col>47</xdr:col>
      <xdr:colOff>71437</xdr:colOff>
      <xdr:row>1</xdr:row>
      <xdr:rowOff>642938</xdr:rowOff>
    </xdr:from>
    <xdr:to>
      <xdr:col>49</xdr:col>
      <xdr:colOff>268514</xdr:colOff>
      <xdr:row>6</xdr:row>
      <xdr:rowOff>285750</xdr:rowOff>
    </xdr:to>
    <xdr:pic>
      <xdr:nvPicPr>
        <xdr:cNvPr id="12" name="Picture 11">
          <a:extLst>
            <a:ext uri="{FF2B5EF4-FFF2-40B4-BE49-F238E27FC236}">
              <a16:creationId xmlns:a16="http://schemas.microsoft.com/office/drawing/2014/main" id="{00000000-0008-0000-0000-00000C000000}"/>
            </a:ext>
          </a:extLst>
        </xdr:cNvPr>
        <xdr:cNvPicPr>
          <a:picLocks noChangeAspect="1"/>
        </xdr:cNvPicPr>
      </xdr:nvPicPr>
      <xdr:blipFill>
        <a:blip xmlns:r="http://schemas.openxmlformats.org/officeDocument/2006/relationships" r:embed="rId5"/>
        <a:stretch>
          <a:fillRect/>
        </a:stretch>
      </xdr:blipFill>
      <xdr:spPr>
        <a:xfrm>
          <a:off x="38901687" y="1055688"/>
          <a:ext cx="1752827" cy="2341562"/>
        </a:xfrm>
        <a:prstGeom prst="rect">
          <a:avLst/>
        </a:prstGeom>
      </xdr:spPr>
    </xdr:pic>
    <xdr:clientData/>
  </xdr:twoCellAnchor>
  <xdr:twoCellAnchor editAs="oneCell">
    <xdr:from>
      <xdr:col>49</xdr:col>
      <xdr:colOff>325437</xdr:colOff>
      <xdr:row>1</xdr:row>
      <xdr:rowOff>396875</xdr:rowOff>
    </xdr:from>
    <xdr:to>
      <xdr:col>52</xdr:col>
      <xdr:colOff>852182</xdr:colOff>
      <xdr:row>6</xdr:row>
      <xdr:rowOff>381000</xdr:rowOff>
    </xdr:to>
    <xdr:pic>
      <xdr:nvPicPr>
        <xdr:cNvPr id="13" name="Picture 12">
          <a:extLst>
            <a:ext uri="{FF2B5EF4-FFF2-40B4-BE49-F238E27FC236}">
              <a16:creationId xmlns:a16="http://schemas.microsoft.com/office/drawing/2014/main" id="{00000000-0008-0000-0000-00000D000000}"/>
            </a:ext>
          </a:extLst>
        </xdr:cNvPr>
        <xdr:cNvPicPr>
          <a:picLocks noChangeAspect="1"/>
        </xdr:cNvPicPr>
      </xdr:nvPicPr>
      <xdr:blipFill>
        <a:blip xmlns:r="http://schemas.openxmlformats.org/officeDocument/2006/relationships" r:embed="rId6"/>
        <a:stretch>
          <a:fillRect/>
        </a:stretch>
      </xdr:blipFill>
      <xdr:spPr>
        <a:xfrm>
          <a:off x="40711437" y="809625"/>
          <a:ext cx="2050745" cy="268287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1968067</xdr:colOff>
      <xdr:row>1</xdr:row>
      <xdr:rowOff>174624</xdr:rowOff>
    </xdr:from>
    <xdr:to>
      <xdr:col>1</xdr:col>
      <xdr:colOff>3084018</xdr:colOff>
      <xdr:row>4</xdr:row>
      <xdr:rowOff>163043</xdr:rowOff>
    </xdr:to>
    <xdr:pic>
      <xdr:nvPicPr>
        <xdr:cNvPr id="7" name="Picture 6">
          <a:extLst>
            <a:ext uri="{FF2B5EF4-FFF2-40B4-BE49-F238E27FC236}">
              <a16:creationId xmlns:a16="http://schemas.microsoft.com/office/drawing/2014/main" id="{00000000-0008-0000-0100-000007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584391" y="370727"/>
          <a:ext cx="1115951" cy="1249081"/>
        </a:xfrm>
        <a:prstGeom prst="rect">
          <a:avLst/>
        </a:prstGeom>
      </xdr:spPr>
    </xdr:pic>
    <xdr:clientData/>
  </xdr:twoCellAnchor>
  <xdr:twoCellAnchor editAs="oneCell">
    <xdr:from>
      <xdr:col>1</xdr:col>
      <xdr:colOff>396875</xdr:colOff>
      <xdr:row>1</xdr:row>
      <xdr:rowOff>111127</xdr:rowOff>
    </xdr:from>
    <xdr:to>
      <xdr:col>1</xdr:col>
      <xdr:colOff>1587500</xdr:colOff>
      <xdr:row>4</xdr:row>
      <xdr:rowOff>93267</xdr:rowOff>
    </xdr:to>
    <xdr:pic>
      <xdr:nvPicPr>
        <xdr:cNvPr id="8" name="Picture 7">
          <a:extLst>
            <a:ext uri="{FF2B5EF4-FFF2-40B4-BE49-F238E27FC236}">
              <a16:creationId xmlns:a16="http://schemas.microsoft.com/office/drawing/2014/main" id="{00000000-0008-0000-0100-000008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16000" y="301627"/>
          <a:ext cx="1190625" cy="1220390"/>
        </a:xfrm>
        <a:prstGeom prst="rect">
          <a:avLst/>
        </a:prstGeom>
      </xdr:spPr>
    </xdr:pic>
    <xdr:clientData/>
  </xdr:twoCellAnchor>
  <xdr:twoCellAnchor editAs="oneCell">
    <xdr:from>
      <xdr:col>14</xdr:col>
      <xdr:colOff>2157132</xdr:colOff>
      <xdr:row>1</xdr:row>
      <xdr:rowOff>56031</xdr:rowOff>
    </xdr:from>
    <xdr:to>
      <xdr:col>18</xdr:col>
      <xdr:colOff>616322</xdr:colOff>
      <xdr:row>4</xdr:row>
      <xdr:rowOff>166301</xdr:rowOff>
    </xdr:to>
    <xdr:pic>
      <xdr:nvPicPr>
        <xdr:cNvPr id="5" name="Picture 4">
          <a:extLst>
            <a:ext uri="{FF2B5EF4-FFF2-40B4-BE49-F238E27FC236}">
              <a16:creationId xmlns:a16="http://schemas.microsoft.com/office/drawing/2014/main" id="{00000000-0008-0000-0100-00000500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29779632" y="252134"/>
          <a:ext cx="3809999" cy="1370932"/>
        </a:xfrm>
        <a:prstGeom prst="rect">
          <a:avLst/>
        </a:prstGeom>
      </xdr:spPr>
    </xdr:pic>
    <xdr:clientData/>
  </xdr:twoCellAnchor>
  <xdr:twoCellAnchor editAs="oneCell">
    <xdr:from>
      <xdr:col>18</xdr:col>
      <xdr:colOff>896470</xdr:colOff>
      <xdr:row>1</xdr:row>
      <xdr:rowOff>140074</xdr:rowOff>
    </xdr:from>
    <xdr:to>
      <xdr:col>19</xdr:col>
      <xdr:colOff>1576107</xdr:colOff>
      <xdr:row>4</xdr:row>
      <xdr:rowOff>112059</xdr:rowOff>
    </xdr:to>
    <xdr:pic>
      <xdr:nvPicPr>
        <xdr:cNvPr id="9" name="Picture 8">
          <a:extLst>
            <a:ext uri="{FF2B5EF4-FFF2-40B4-BE49-F238E27FC236}">
              <a16:creationId xmlns:a16="http://schemas.microsoft.com/office/drawing/2014/main" id="{00000000-0008-0000-0100-000009000000}"/>
            </a:ext>
          </a:extLst>
        </xdr:cNvPr>
        <xdr:cNvPicPr>
          <a:picLocks noChangeAspect="1"/>
        </xdr:cNvPicPr>
      </xdr:nvPicPr>
      <xdr:blipFill>
        <a:blip xmlns:r="http://schemas.openxmlformats.org/officeDocument/2006/relationships" r:embed="rId4"/>
        <a:stretch>
          <a:fillRect/>
        </a:stretch>
      </xdr:blipFill>
      <xdr:spPr>
        <a:xfrm>
          <a:off x="33869779" y="336177"/>
          <a:ext cx="1968313" cy="1232647"/>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200024</xdr:colOff>
      <xdr:row>0</xdr:row>
      <xdr:rowOff>171449</xdr:rowOff>
    </xdr:from>
    <xdr:to>
      <xdr:col>1</xdr:col>
      <xdr:colOff>236020</xdr:colOff>
      <xdr:row>1</xdr:row>
      <xdr:rowOff>304800</xdr:rowOff>
    </xdr:to>
    <xdr:pic>
      <xdr:nvPicPr>
        <xdr:cNvPr id="2" name="Picture 1">
          <a:extLst>
            <a:ext uri="{FF2B5EF4-FFF2-40B4-BE49-F238E27FC236}">
              <a16:creationId xmlns:a16="http://schemas.microsoft.com/office/drawing/2014/main" id="{06F6DE8A-A729-4457-8090-C318A3EAF94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00024" y="171449"/>
          <a:ext cx="1902896" cy="514351"/>
        </a:xfrm>
        <a:prstGeom prst="rect">
          <a:avLst/>
        </a:prstGeom>
      </xdr:spPr>
    </xdr:pic>
    <xdr:clientData/>
  </xdr:twoCellAnchor>
  <xdr:twoCellAnchor editAs="oneCell">
    <xdr:from>
      <xdr:col>2</xdr:col>
      <xdr:colOff>533400</xdr:colOff>
      <xdr:row>0</xdr:row>
      <xdr:rowOff>171449</xdr:rowOff>
    </xdr:from>
    <xdr:to>
      <xdr:col>4</xdr:col>
      <xdr:colOff>21249</xdr:colOff>
      <xdr:row>1</xdr:row>
      <xdr:rowOff>266700</xdr:rowOff>
    </xdr:to>
    <xdr:pic>
      <xdr:nvPicPr>
        <xdr:cNvPr id="3" name="Picture 2">
          <a:extLst>
            <a:ext uri="{FF2B5EF4-FFF2-40B4-BE49-F238E27FC236}">
              <a16:creationId xmlns:a16="http://schemas.microsoft.com/office/drawing/2014/main" id="{EE0F3712-10A7-4182-9CD6-253CED34765E}"/>
            </a:ext>
          </a:extLst>
        </xdr:cNvPr>
        <xdr:cNvPicPr>
          <a:picLocks noChangeAspect="1"/>
        </xdr:cNvPicPr>
      </xdr:nvPicPr>
      <xdr:blipFill>
        <a:blip xmlns:r="http://schemas.openxmlformats.org/officeDocument/2006/relationships" r:embed="rId2"/>
        <a:stretch>
          <a:fillRect/>
        </a:stretch>
      </xdr:blipFill>
      <xdr:spPr>
        <a:xfrm>
          <a:off x="3009900" y="171449"/>
          <a:ext cx="707049" cy="476251"/>
        </a:xfrm>
        <a:prstGeom prst="rect">
          <a:avLst/>
        </a:prstGeom>
      </xdr:spPr>
    </xdr:pic>
    <xdr:clientData/>
  </xdr:twoCellAnchor>
  <xdr:twoCellAnchor editAs="oneCell">
    <xdr:from>
      <xdr:col>18</xdr:col>
      <xdr:colOff>200025</xdr:colOff>
      <xdr:row>0</xdr:row>
      <xdr:rowOff>133350</xdr:rowOff>
    </xdr:from>
    <xdr:to>
      <xdr:col>19</xdr:col>
      <xdr:colOff>485681</xdr:colOff>
      <xdr:row>1</xdr:row>
      <xdr:rowOff>295275</xdr:rowOff>
    </xdr:to>
    <xdr:pic>
      <xdr:nvPicPr>
        <xdr:cNvPr id="4" name="Picture 3">
          <a:extLst>
            <a:ext uri="{FF2B5EF4-FFF2-40B4-BE49-F238E27FC236}">
              <a16:creationId xmlns:a16="http://schemas.microsoft.com/office/drawing/2014/main" id="{8A3D7A5B-7D34-4EBB-99D7-88D7E71AD974}"/>
            </a:ext>
          </a:extLst>
        </xdr:cNvPr>
        <xdr:cNvPicPr>
          <a:picLocks noChangeAspect="1"/>
        </xdr:cNvPicPr>
      </xdr:nvPicPr>
      <xdr:blipFill>
        <a:blip xmlns:r="http://schemas.openxmlformats.org/officeDocument/2006/relationships" r:embed="rId3"/>
        <a:stretch>
          <a:fillRect/>
        </a:stretch>
      </xdr:blipFill>
      <xdr:spPr>
        <a:xfrm>
          <a:off x="17478375" y="133350"/>
          <a:ext cx="895257" cy="542925"/>
        </a:xfrm>
        <a:prstGeom prst="rect">
          <a:avLst/>
        </a:prstGeom>
      </xdr:spPr>
    </xdr:pic>
    <xdr:clientData/>
  </xdr:twoCellAnchor>
  <xdr:twoCellAnchor editAs="oneCell">
    <xdr:from>
      <xdr:col>20</xdr:col>
      <xdr:colOff>304800</xdr:colOff>
      <xdr:row>0</xdr:row>
      <xdr:rowOff>104774</xdr:rowOff>
    </xdr:from>
    <xdr:to>
      <xdr:col>21</xdr:col>
      <xdr:colOff>596916</xdr:colOff>
      <xdr:row>1</xdr:row>
      <xdr:rowOff>295275</xdr:rowOff>
    </xdr:to>
    <xdr:pic>
      <xdr:nvPicPr>
        <xdr:cNvPr id="5" name="Picture 4">
          <a:extLst>
            <a:ext uri="{FF2B5EF4-FFF2-40B4-BE49-F238E27FC236}">
              <a16:creationId xmlns:a16="http://schemas.microsoft.com/office/drawing/2014/main" id="{96D733FB-2D44-4792-82FA-35571A2FACA5}"/>
            </a:ext>
          </a:extLst>
        </xdr:cNvPr>
        <xdr:cNvPicPr>
          <a:picLocks noChangeAspect="1"/>
        </xdr:cNvPicPr>
      </xdr:nvPicPr>
      <xdr:blipFill>
        <a:blip xmlns:r="http://schemas.openxmlformats.org/officeDocument/2006/relationships" r:embed="rId4"/>
        <a:stretch>
          <a:fillRect/>
        </a:stretch>
      </xdr:blipFill>
      <xdr:spPr>
        <a:xfrm>
          <a:off x="18802350" y="104774"/>
          <a:ext cx="901717" cy="571501"/>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4</xdr:col>
      <xdr:colOff>0</xdr:colOff>
      <xdr:row>15</xdr:row>
      <xdr:rowOff>0</xdr:rowOff>
    </xdr:from>
    <xdr:to>
      <xdr:col>4</xdr:col>
      <xdr:colOff>219075</xdr:colOff>
      <xdr:row>15</xdr:row>
      <xdr:rowOff>261305</xdr:rowOff>
    </xdr:to>
    <xdr:sp macro="" textlink="">
      <xdr:nvSpPr>
        <xdr:cNvPr id="2" name="Rectangle 4">
          <a:extLst>
            <a:ext uri="{FF2B5EF4-FFF2-40B4-BE49-F238E27FC236}">
              <a16:creationId xmlns:a16="http://schemas.microsoft.com/office/drawing/2014/main" id="{00000000-0008-0000-0200-000002000000}"/>
            </a:ext>
          </a:extLst>
        </xdr:cNvPr>
        <xdr:cNvSpPr>
          <a:spLocks noChangeArrowheads="1"/>
        </xdr:cNvSpPr>
      </xdr:nvSpPr>
      <xdr:spPr bwMode="auto">
        <a:xfrm rot="-2170721">
          <a:off x="14058900" y="3743325"/>
          <a:ext cx="219075" cy="257223"/>
        </a:xfrm>
        <a:prstGeom prst="rect">
          <a:avLst/>
        </a:prstGeom>
        <a:noFill/>
        <a:ln w="9525">
          <a:noFill/>
          <a:miter lim="800000"/>
          <a:headEnd/>
          <a:tailEnd/>
        </a:ln>
      </xdr:spPr>
    </xdr:sp>
    <xdr:clientData/>
  </xdr:twoCellAnchor>
  <xdr:twoCellAnchor editAs="oneCell">
    <xdr:from>
      <xdr:col>4</xdr:col>
      <xdr:colOff>0</xdr:colOff>
      <xdr:row>15</xdr:row>
      <xdr:rowOff>0</xdr:rowOff>
    </xdr:from>
    <xdr:to>
      <xdr:col>4</xdr:col>
      <xdr:colOff>219075</xdr:colOff>
      <xdr:row>15</xdr:row>
      <xdr:rowOff>261305</xdr:rowOff>
    </xdr:to>
    <xdr:sp macro="" textlink="">
      <xdr:nvSpPr>
        <xdr:cNvPr id="3" name="Rectangle 2">
          <a:extLst>
            <a:ext uri="{FF2B5EF4-FFF2-40B4-BE49-F238E27FC236}">
              <a16:creationId xmlns:a16="http://schemas.microsoft.com/office/drawing/2014/main" id="{00000000-0008-0000-0200-000003000000}"/>
            </a:ext>
          </a:extLst>
        </xdr:cNvPr>
        <xdr:cNvSpPr>
          <a:spLocks noChangeArrowheads="1"/>
        </xdr:cNvSpPr>
      </xdr:nvSpPr>
      <xdr:spPr bwMode="auto">
        <a:xfrm rot="-2170721">
          <a:off x="14058900" y="3743325"/>
          <a:ext cx="219075" cy="257223"/>
        </a:xfrm>
        <a:prstGeom prst="rect">
          <a:avLst/>
        </a:prstGeom>
        <a:noFill/>
        <a:ln w="9525">
          <a:noFill/>
          <a:miter lim="800000"/>
          <a:headEnd/>
          <a:tailEnd/>
        </a:ln>
      </xdr:spPr>
    </xdr:sp>
    <xdr:clientData/>
  </xdr:twoCellAnchor>
  <xdr:twoCellAnchor editAs="oneCell">
    <xdr:from>
      <xdr:col>4</xdr:col>
      <xdr:colOff>0</xdr:colOff>
      <xdr:row>15</xdr:row>
      <xdr:rowOff>0</xdr:rowOff>
    </xdr:from>
    <xdr:to>
      <xdr:col>4</xdr:col>
      <xdr:colOff>219075</xdr:colOff>
      <xdr:row>15</xdr:row>
      <xdr:rowOff>261305</xdr:rowOff>
    </xdr:to>
    <xdr:sp macro="" textlink="">
      <xdr:nvSpPr>
        <xdr:cNvPr id="4" name="Rectangle 3">
          <a:extLst>
            <a:ext uri="{FF2B5EF4-FFF2-40B4-BE49-F238E27FC236}">
              <a16:creationId xmlns:a16="http://schemas.microsoft.com/office/drawing/2014/main" id="{00000000-0008-0000-0200-000004000000}"/>
            </a:ext>
          </a:extLst>
        </xdr:cNvPr>
        <xdr:cNvSpPr>
          <a:spLocks noChangeArrowheads="1"/>
        </xdr:cNvSpPr>
      </xdr:nvSpPr>
      <xdr:spPr bwMode="auto">
        <a:xfrm rot="-2170721">
          <a:off x="14058900" y="3743325"/>
          <a:ext cx="219075" cy="257223"/>
        </a:xfrm>
        <a:prstGeom prst="rect">
          <a:avLst/>
        </a:prstGeom>
        <a:noFill/>
        <a:ln w="9525">
          <a:noFill/>
          <a:miter lim="800000"/>
          <a:headEnd/>
          <a:tailEnd/>
        </a:ln>
      </xdr:spPr>
    </xdr:sp>
    <xdr:clientData/>
  </xdr:twoCellAnchor>
  <xdr:twoCellAnchor editAs="oneCell">
    <xdr:from>
      <xdr:col>4</xdr:col>
      <xdr:colOff>0</xdr:colOff>
      <xdr:row>15</xdr:row>
      <xdr:rowOff>0</xdr:rowOff>
    </xdr:from>
    <xdr:to>
      <xdr:col>4</xdr:col>
      <xdr:colOff>219075</xdr:colOff>
      <xdr:row>15</xdr:row>
      <xdr:rowOff>261305</xdr:rowOff>
    </xdr:to>
    <xdr:sp macro="" textlink="">
      <xdr:nvSpPr>
        <xdr:cNvPr id="5" name="Rectangle 4">
          <a:extLst>
            <a:ext uri="{FF2B5EF4-FFF2-40B4-BE49-F238E27FC236}">
              <a16:creationId xmlns:a16="http://schemas.microsoft.com/office/drawing/2014/main" id="{00000000-0008-0000-0200-000005000000}"/>
            </a:ext>
          </a:extLst>
        </xdr:cNvPr>
        <xdr:cNvSpPr>
          <a:spLocks noChangeArrowheads="1"/>
        </xdr:cNvSpPr>
      </xdr:nvSpPr>
      <xdr:spPr bwMode="auto">
        <a:xfrm rot="-2170721">
          <a:off x="14058900" y="3743325"/>
          <a:ext cx="219075" cy="257223"/>
        </a:xfrm>
        <a:prstGeom prst="rect">
          <a:avLst/>
        </a:prstGeom>
        <a:noFill/>
        <a:ln w="9525">
          <a:noFill/>
          <a:miter lim="800000"/>
          <a:headEnd/>
          <a:tailEnd/>
        </a:ln>
      </xdr:spPr>
    </xdr:sp>
    <xdr:clientData/>
  </xdr:twoCellAnchor>
  <xdr:oneCellAnchor>
    <xdr:from>
      <xdr:col>4</xdr:col>
      <xdr:colOff>0</xdr:colOff>
      <xdr:row>51</xdr:row>
      <xdr:rowOff>0</xdr:rowOff>
    </xdr:from>
    <xdr:ext cx="219075" cy="249620"/>
    <xdr:sp macro="" textlink="">
      <xdr:nvSpPr>
        <xdr:cNvPr id="6" name="Rectangle 4">
          <a:extLst>
            <a:ext uri="{FF2B5EF4-FFF2-40B4-BE49-F238E27FC236}">
              <a16:creationId xmlns:a16="http://schemas.microsoft.com/office/drawing/2014/main" id="{00000000-0008-0000-0200-000006000000}"/>
            </a:ext>
          </a:extLst>
        </xdr:cNvPr>
        <xdr:cNvSpPr>
          <a:spLocks noChangeArrowheads="1"/>
        </xdr:cNvSpPr>
      </xdr:nvSpPr>
      <xdr:spPr bwMode="auto">
        <a:xfrm rot="-2170721">
          <a:off x="14058900" y="10944225"/>
          <a:ext cx="219075" cy="249620"/>
        </a:xfrm>
        <a:prstGeom prst="rect">
          <a:avLst/>
        </a:prstGeom>
        <a:noFill/>
        <a:ln w="9525">
          <a:noFill/>
          <a:miter lim="800000"/>
          <a:headEnd/>
          <a:tailEnd/>
        </a:ln>
      </xdr:spPr>
    </xdr:sp>
    <xdr:clientData/>
  </xdr:oneCellAnchor>
  <xdr:oneCellAnchor>
    <xdr:from>
      <xdr:col>4</xdr:col>
      <xdr:colOff>0</xdr:colOff>
      <xdr:row>51</xdr:row>
      <xdr:rowOff>0</xdr:rowOff>
    </xdr:from>
    <xdr:ext cx="219075" cy="249620"/>
    <xdr:sp macro="" textlink="">
      <xdr:nvSpPr>
        <xdr:cNvPr id="7" name="Rectangle 6">
          <a:extLst>
            <a:ext uri="{FF2B5EF4-FFF2-40B4-BE49-F238E27FC236}">
              <a16:creationId xmlns:a16="http://schemas.microsoft.com/office/drawing/2014/main" id="{00000000-0008-0000-0200-000007000000}"/>
            </a:ext>
          </a:extLst>
        </xdr:cNvPr>
        <xdr:cNvSpPr>
          <a:spLocks noChangeArrowheads="1"/>
        </xdr:cNvSpPr>
      </xdr:nvSpPr>
      <xdr:spPr bwMode="auto">
        <a:xfrm rot="-2170721">
          <a:off x="14058900" y="10944225"/>
          <a:ext cx="219075" cy="249620"/>
        </a:xfrm>
        <a:prstGeom prst="rect">
          <a:avLst/>
        </a:prstGeom>
        <a:noFill/>
        <a:ln w="9525">
          <a:noFill/>
          <a:miter lim="800000"/>
          <a:headEnd/>
          <a:tailEnd/>
        </a:ln>
      </xdr:spPr>
    </xdr:sp>
    <xdr:clientData/>
  </xdr:oneCellAnchor>
  <xdr:oneCellAnchor>
    <xdr:from>
      <xdr:col>4</xdr:col>
      <xdr:colOff>0</xdr:colOff>
      <xdr:row>51</xdr:row>
      <xdr:rowOff>0</xdr:rowOff>
    </xdr:from>
    <xdr:ext cx="219075" cy="249620"/>
    <xdr:sp macro="" textlink="">
      <xdr:nvSpPr>
        <xdr:cNvPr id="8" name="Rectangle 7">
          <a:extLst>
            <a:ext uri="{FF2B5EF4-FFF2-40B4-BE49-F238E27FC236}">
              <a16:creationId xmlns:a16="http://schemas.microsoft.com/office/drawing/2014/main" id="{00000000-0008-0000-0200-000008000000}"/>
            </a:ext>
          </a:extLst>
        </xdr:cNvPr>
        <xdr:cNvSpPr>
          <a:spLocks noChangeArrowheads="1"/>
        </xdr:cNvSpPr>
      </xdr:nvSpPr>
      <xdr:spPr bwMode="auto">
        <a:xfrm rot="-2170721">
          <a:off x="14058900" y="10944225"/>
          <a:ext cx="219075" cy="249620"/>
        </a:xfrm>
        <a:prstGeom prst="rect">
          <a:avLst/>
        </a:prstGeom>
        <a:noFill/>
        <a:ln w="9525">
          <a:noFill/>
          <a:miter lim="800000"/>
          <a:headEnd/>
          <a:tailEnd/>
        </a:ln>
      </xdr:spPr>
    </xdr:sp>
    <xdr:clientData/>
  </xdr:oneCellAnchor>
  <xdr:oneCellAnchor>
    <xdr:from>
      <xdr:col>4</xdr:col>
      <xdr:colOff>0</xdr:colOff>
      <xdr:row>51</xdr:row>
      <xdr:rowOff>0</xdr:rowOff>
    </xdr:from>
    <xdr:ext cx="219075" cy="249620"/>
    <xdr:sp macro="" textlink="">
      <xdr:nvSpPr>
        <xdr:cNvPr id="9" name="Rectangle 8">
          <a:extLst>
            <a:ext uri="{FF2B5EF4-FFF2-40B4-BE49-F238E27FC236}">
              <a16:creationId xmlns:a16="http://schemas.microsoft.com/office/drawing/2014/main" id="{00000000-0008-0000-0200-000009000000}"/>
            </a:ext>
          </a:extLst>
        </xdr:cNvPr>
        <xdr:cNvSpPr>
          <a:spLocks noChangeArrowheads="1"/>
        </xdr:cNvSpPr>
      </xdr:nvSpPr>
      <xdr:spPr bwMode="auto">
        <a:xfrm rot="-2170721">
          <a:off x="14058900" y="10944225"/>
          <a:ext cx="219075" cy="249620"/>
        </a:xfrm>
        <a:prstGeom prst="rect">
          <a:avLst/>
        </a:prstGeom>
        <a:noFill/>
        <a:ln w="9525">
          <a:noFill/>
          <a:miter lim="800000"/>
          <a:headEnd/>
          <a:tailEnd/>
        </a:ln>
      </xdr:spPr>
    </xdr:sp>
    <xdr:clientData/>
  </xdr:oneCellAnchor>
  <xdr:oneCellAnchor>
    <xdr:from>
      <xdr:col>4</xdr:col>
      <xdr:colOff>0</xdr:colOff>
      <xdr:row>74</xdr:row>
      <xdr:rowOff>0</xdr:rowOff>
    </xdr:from>
    <xdr:ext cx="219075" cy="244540"/>
    <xdr:sp macro="" textlink="">
      <xdr:nvSpPr>
        <xdr:cNvPr id="10" name="Rectangle 4">
          <a:extLst>
            <a:ext uri="{FF2B5EF4-FFF2-40B4-BE49-F238E27FC236}">
              <a16:creationId xmlns:a16="http://schemas.microsoft.com/office/drawing/2014/main" id="{00000000-0008-0000-0200-00000A000000}"/>
            </a:ext>
          </a:extLst>
        </xdr:cNvPr>
        <xdr:cNvSpPr>
          <a:spLocks noChangeArrowheads="1"/>
        </xdr:cNvSpPr>
      </xdr:nvSpPr>
      <xdr:spPr bwMode="auto">
        <a:xfrm rot="-2170721">
          <a:off x="14058900" y="15592425"/>
          <a:ext cx="219075" cy="244540"/>
        </a:xfrm>
        <a:prstGeom prst="rect">
          <a:avLst/>
        </a:prstGeom>
        <a:noFill/>
        <a:ln w="9525">
          <a:noFill/>
          <a:miter lim="800000"/>
          <a:headEnd/>
          <a:tailEnd/>
        </a:ln>
      </xdr:spPr>
    </xdr:sp>
    <xdr:clientData/>
  </xdr:oneCellAnchor>
  <xdr:oneCellAnchor>
    <xdr:from>
      <xdr:col>4</xdr:col>
      <xdr:colOff>0</xdr:colOff>
      <xdr:row>74</xdr:row>
      <xdr:rowOff>0</xdr:rowOff>
    </xdr:from>
    <xdr:ext cx="219075" cy="244540"/>
    <xdr:sp macro="" textlink="">
      <xdr:nvSpPr>
        <xdr:cNvPr id="11" name="Rectangle 10">
          <a:extLst>
            <a:ext uri="{FF2B5EF4-FFF2-40B4-BE49-F238E27FC236}">
              <a16:creationId xmlns:a16="http://schemas.microsoft.com/office/drawing/2014/main" id="{00000000-0008-0000-0200-00000B000000}"/>
            </a:ext>
          </a:extLst>
        </xdr:cNvPr>
        <xdr:cNvSpPr>
          <a:spLocks noChangeArrowheads="1"/>
        </xdr:cNvSpPr>
      </xdr:nvSpPr>
      <xdr:spPr bwMode="auto">
        <a:xfrm rot="-2170721">
          <a:off x="14058900" y="15592425"/>
          <a:ext cx="219075" cy="244540"/>
        </a:xfrm>
        <a:prstGeom prst="rect">
          <a:avLst/>
        </a:prstGeom>
        <a:noFill/>
        <a:ln w="9525">
          <a:noFill/>
          <a:miter lim="800000"/>
          <a:headEnd/>
          <a:tailEnd/>
        </a:ln>
      </xdr:spPr>
    </xdr:sp>
    <xdr:clientData/>
  </xdr:oneCellAnchor>
  <xdr:oneCellAnchor>
    <xdr:from>
      <xdr:col>4</xdr:col>
      <xdr:colOff>0</xdr:colOff>
      <xdr:row>74</xdr:row>
      <xdr:rowOff>0</xdr:rowOff>
    </xdr:from>
    <xdr:ext cx="219075" cy="244540"/>
    <xdr:sp macro="" textlink="">
      <xdr:nvSpPr>
        <xdr:cNvPr id="12" name="Rectangle 11">
          <a:extLst>
            <a:ext uri="{FF2B5EF4-FFF2-40B4-BE49-F238E27FC236}">
              <a16:creationId xmlns:a16="http://schemas.microsoft.com/office/drawing/2014/main" id="{00000000-0008-0000-0200-00000C000000}"/>
            </a:ext>
          </a:extLst>
        </xdr:cNvPr>
        <xdr:cNvSpPr>
          <a:spLocks noChangeArrowheads="1"/>
        </xdr:cNvSpPr>
      </xdr:nvSpPr>
      <xdr:spPr bwMode="auto">
        <a:xfrm rot="-2170721">
          <a:off x="14058900" y="15592425"/>
          <a:ext cx="219075" cy="244540"/>
        </a:xfrm>
        <a:prstGeom prst="rect">
          <a:avLst/>
        </a:prstGeom>
        <a:noFill/>
        <a:ln w="9525">
          <a:noFill/>
          <a:miter lim="800000"/>
          <a:headEnd/>
          <a:tailEnd/>
        </a:ln>
      </xdr:spPr>
    </xdr:sp>
    <xdr:clientData/>
  </xdr:oneCellAnchor>
  <xdr:oneCellAnchor>
    <xdr:from>
      <xdr:col>4</xdr:col>
      <xdr:colOff>0</xdr:colOff>
      <xdr:row>74</xdr:row>
      <xdr:rowOff>0</xdr:rowOff>
    </xdr:from>
    <xdr:ext cx="219075" cy="244540"/>
    <xdr:sp macro="" textlink="">
      <xdr:nvSpPr>
        <xdr:cNvPr id="13" name="Rectangle 12">
          <a:extLst>
            <a:ext uri="{FF2B5EF4-FFF2-40B4-BE49-F238E27FC236}">
              <a16:creationId xmlns:a16="http://schemas.microsoft.com/office/drawing/2014/main" id="{00000000-0008-0000-0200-00000D000000}"/>
            </a:ext>
          </a:extLst>
        </xdr:cNvPr>
        <xdr:cNvSpPr>
          <a:spLocks noChangeArrowheads="1"/>
        </xdr:cNvSpPr>
      </xdr:nvSpPr>
      <xdr:spPr bwMode="auto">
        <a:xfrm rot="-2170721">
          <a:off x="14058900" y="15592425"/>
          <a:ext cx="219075" cy="244540"/>
        </a:xfrm>
        <a:prstGeom prst="rect">
          <a:avLst/>
        </a:prstGeom>
        <a:noFill/>
        <a:ln w="9525">
          <a:noFill/>
          <a:miter lim="800000"/>
          <a:headEnd/>
          <a:tailEnd/>
        </a:ln>
      </xdr:spPr>
    </xdr:sp>
    <xdr:clientData/>
  </xdr:oneCellAnchor>
  <xdr:oneCellAnchor>
    <xdr:from>
      <xdr:col>4</xdr:col>
      <xdr:colOff>0</xdr:colOff>
      <xdr:row>113</xdr:row>
      <xdr:rowOff>0</xdr:rowOff>
    </xdr:from>
    <xdr:ext cx="219075" cy="249620"/>
    <xdr:sp macro="" textlink="">
      <xdr:nvSpPr>
        <xdr:cNvPr id="14" name="Rectangle 4">
          <a:extLst>
            <a:ext uri="{FF2B5EF4-FFF2-40B4-BE49-F238E27FC236}">
              <a16:creationId xmlns:a16="http://schemas.microsoft.com/office/drawing/2014/main" id="{00000000-0008-0000-0200-00000E000000}"/>
            </a:ext>
          </a:extLst>
        </xdr:cNvPr>
        <xdr:cNvSpPr>
          <a:spLocks noChangeArrowheads="1"/>
        </xdr:cNvSpPr>
      </xdr:nvSpPr>
      <xdr:spPr bwMode="auto">
        <a:xfrm rot="-2170721">
          <a:off x="14058900" y="23698200"/>
          <a:ext cx="219075" cy="249620"/>
        </a:xfrm>
        <a:prstGeom prst="rect">
          <a:avLst/>
        </a:prstGeom>
        <a:noFill/>
        <a:ln w="9525">
          <a:noFill/>
          <a:miter lim="800000"/>
          <a:headEnd/>
          <a:tailEnd/>
        </a:ln>
      </xdr:spPr>
    </xdr:sp>
    <xdr:clientData/>
  </xdr:oneCellAnchor>
  <xdr:oneCellAnchor>
    <xdr:from>
      <xdr:col>4</xdr:col>
      <xdr:colOff>0</xdr:colOff>
      <xdr:row>113</xdr:row>
      <xdr:rowOff>0</xdr:rowOff>
    </xdr:from>
    <xdr:ext cx="219075" cy="249620"/>
    <xdr:sp macro="" textlink="">
      <xdr:nvSpPr>
        <xdr:cNvPr id="15" name="Rectangle 14">
          <a:extLst>
            <a:ext uri="{FF2B5EF4-FFF2-40B4-BE49-F238E27FC236}">
              <a16:creationId xmlns:a16="http://schemas.microsoft.com/office/drawing/2014/main" id="{00000000-0008-0000-0200-00000F000000}"/>
            </a:ext>
          </a:extLst>
        </xdr:cNvPr>
        <xdr:cNvSpPr>
          <a:spLocks noChangeArrowheads="1"/>
        </xdr:cNvSpPr>
      </xdr:nvSpPr>
      <xdr:spPr bwMode="auto">
        <a:xfrm rot="-2170721">
          <a:off x="14058900" y="23698200"/>
          <a:ext cx="219075" cy="249620"/>
        </a:xfrm>
        <a:prstGeom prst="rect">
          <a:avLst/>
        </a:prstGeom>
        <a:noFill/>
        <a:ln w="9525">
          <a:noFill/>
          <a:miter lim="800000"/>
          <a:headEnd/>
          <a:tailEnd/>
        </a:ln>
      </xdr:spPr>
    </xdr:sp>
    <xdr:clientData/>
  </xdr:oneCellAnchor>
  <xdr:oneCellAnchor>
    <xdr:from>
      <xdr:col>4</xdr:col>
      <xdr:colOff>0</xdr:colOff>
      <xdr:row>113</xdr:row>
      <xdr:rowOff>0</xdr:rowOff>
    </xdr:from>
    <xdr:ext cx="219075" cy="249620"/>
    <xdr:sp macro="" textlink="">
      <xdr:nvSpPr>
        <xdr:cNvPr id="16" name="Rectangle 15">
          <a:extLst>
            <a:ext uri="{FF2B5EF4-FFF2-40B4-BE49-F238E27FC236}">
              <a16:creationId xmlns:a16="http://schemas.microsoft.com/office/drawing/2014/main" id="{00000000-0008-0000-0200-000010000000}"/>
            </a:ext>
          </a:extLst>
        </xdr:cNvPr>
        <xdr:cNvSpPr>
          <a:spLocks noChangeArrowheads="1"/>
        </xdr:cNvSpPr>
      </xdr:nvSpPr>
      <xdr:spPr bwMode="auto">
        <a:xfrm rot="-2170721">
          <a:off x="14058900" y="23698200"/>
          <a:ext cx="219075" cy="249620"/>
        </a:xfrm>
        <a:prstGeom prst="rect">
          <a:avLst/>
        </a:prstGeom>
        <a:noFill/>
        <a:ln w="9525">
          <a:noFill/>
          <a:miter lim="800000"/>
          <a:headEnd/>
          <a:tailEnd/>
        </a:ln>
      </xdr:spPr>
    </xdr:sp>
    <xdr:clientData/>
  </xdr:oneCellAnchor>
  <xdr:oneCellAnchor>
    <xdr:from>
      <xdr:col>4</xdr:col>
      <xdr:colOff>0</xdr:colOff>
      <xdr:row>113</xdr:row>
      <xdr:rowOff>0</xdr:rowOff>
    </xdr:from>
    <xdr:ext cx="219075" cy="249620"/>
    <xdr:sp macro="" textlink="">
      <xdr:nvSpPr>
        <xdr:cNvPr id="17" name="Rectangle 16">
          <a:extLst>
            <a:ext uri="{FF2B5EF4-FFF2-40B4-BE49-F238E27FC236}">
              <a16:creationId xmlns:a16="http://schemas.microsoft.com/office/drawing/2014/main" id="{00000000-0008-0000-0200-000011000000}"/>
            </a:ext>
          </a:extLst>
        </xdr:cNvPr>
        <xdr:cNvSpPr>
          <a:spLocks noChangeArrowheads="1"/>
        </xdr:cNvSpPr>
      </xdr:nvSpPr>
      <xdr:spPr bwMode="auto">
        <a:xfrm rot="-2170721">
          <a:off x="14058900" y="23698200"/>
          <a:ext cx="219075" cy="249620"/>
        </a:xfrm>
        <a:prstGeom prst="rect">
          <a:avLst/>
        </a:prstGeom>
        <a:noFill/>
        <a:ln w="9525">
          <a:noFill/>
          <a:miter lim="800000"/>
          <a:headEnd/>
          <a:tailEnd/>
        </a:ln>
      </xdr:spPr>
    </xdr:sp>
    <xdr:clientData/>
  </xdr:oneCellAnchor>
</xdr:wsDr>
</file>

<file path=xl/drawings/drawing5.xml><?xml version="1.0" encoding="utf-8"?>
<xdr:wsDr xmlns:xdr="http://schemas.openxmlformats.org/drawingml/2006/spreadsheetDrawing" xmlns:a="http://schemas.openxmlformats.org/drawingml/2006/main">
  <xdr:twoCellAnchor editAs="oneCell">
    <xdr:from>
      <xdr:col>17</xdr:col>
      <xdr:colOff>0</xdr:colOff>
      <xdr:row>13</xdr:row>
      <xdr:rowOff>0</xdr:rowOff>
    </xdr:from>
    <xdr:to>
      <xdr:col>17</xdr:col>
      <xdr:colOff>304800</xdr:colOff>
      <xdr:row>14</xdr:row>
      <xdr:rowOff>114300</xdr:rowOff>
    </xdr:to>
    <xdr:sp macro="" textlink="">
      <xdr:nvSpPr>
        <xdr:cNvPr id="5122" name="AutoShape 2" descr="https://cdn.yektanet.com/assets/images/yn-icon.svg">
          <a:hlinkClick xmlns:r="http://schemas.openxmlformats.org/officeDocument/2006/relationships" r:id="rId1" tgtFrame="_blank"/>
          <a:extLst>
            <a:ext uri="{FF2B5EF4-FFF2-40B4-BE49-F238E27FC236}">
              <a16:creationId xmlns:a16="http://schemas.microsoft.com/office/drawing/2014/main" id="{00000000-0008-0000-0300-000002140000}"/>
            </a:ext>
          </a:extLst>
        </xdr:cNvPr>
        <xdr:cNvSpPr>
          <a:spLocks noChangeAspect="1" noChangeArrowheads="1"/>
        </xdr:cNvSpPr>
      </xdr:nvSpPr>
      <xdr:spPr bwMode="auto">
        <a:xfrm>
          <a:off x="15135225" y="102489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4CD9674-E545-497A-9035-13C892C948B9}" name="Table2" displayName="Table2" ref="A1:J28" totalsRowShown="0" headerRowDxfId="22" dataDxfId="20" headerRowBorderDxfId="21">
  <autoFilter ref="A1:J28" xr:uid="{00000000-0009-0000-0100-000001000000}"/>
  <sortState xmlns:xlrd2="http://schemas.microsoft.com/office/spreadsheetml/2017/richdata2" ref="A2:J28">
    <sortCondition ref="A1:A28"/>
  </sortState>
  <tableColumns count="10">
    <tableColumn id="1" xr3:uid="{833E552F-94E4-400E-B415-273E8715F1CC}" name="Hole Section" dataDxfId="19" totalsRowDxfId="18"/>
    <tableColumn id="2" xr3:uid="{EFF0C392-E918-4476-9E31-9468B7C64834}" name="Company" dataDxfId="17" totalsRowDxfId="16"/>
    <tableColumn id="3" xr3:uid="{021B82D8-3AF7-4FD4-82D0-D74585D62607}" name="Service" dataDxfId="15" totalsRowDxfId="14"/>
    <tableColumn id="4" xr3:uid="{8127B1C3-9EF2-411A-B550-CE850BD2796A}" name="Date In" dataDxfId="13" totalsRowDxfId="12"/>
    <tableColumn id="5" xr3:uid="{1DE6C425-62C1-4127-BE47-80A9802BE53A}" name="Date Out" dataDxfId="11" totalsRowDxfId="10"/>
    <tableColumn id="6" xr3:uid="{0178C68E-E850-4CCB-B8D7-E4DA7922D344}" name="Duration (Day)" dataDxfId="9" totalsRowDxfId="8"/>
    <tableColumn id="7" xr3:uid="{0B4DC4EE-4CCF-4FF3-99AC-2BDB5C7CDDA0}" name="Job Description" dataDxfId="7" totalsRowDxfId="6"/>
    <tableColumn id="8" xr3:uid="{4FB29256-89CB-4B33-86B0-064044A541C1}" name="Condition" dataDxfId="5" totalsRowDxfId="4"/>
    <tableColumn id="9" xr3:uid="{E9288CEA-EF4D-4864-AA62-9B471230DD84}" name="Problem/Issue" dataDxfId="3" totalsRowDxfId="2"/>
    <tableColumn id="10" xr3:uid="{B7C3E6B9-5C7E-4123-ADD4-9088C1F33F85}" name="Total NPT (HRS)" dataDxfId="1" totalsRowDxfId="0"/>
  </tableColumns>
  <tableStyleInfo name="TableStyleMedium9"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CF109"/>
  <sheetViews>
    <sheetView showGridLines="0" view="pageBreakPreview" topLeftCell="A21" zoomScale="40" zoomScaleNormal="40" zoomScaleSheetLayoutView="40" workbookViewId="0">
      <selection activeCell="R15" sqref="R15:V15"/>
    </sheetView>
  </sheetViews>
  <sheetFormatPr defaultColWidth="9.140625" defaultRowHeight="15"/>
  <cols>
    <col min="1" max="1" width="3.7109375" style="26" customWidth="1"/>
    <col min="2" max="2" width="19.140625" style="26" customWidth="1"/>
    <col min="3" max="3" width="3.7109375" style="26" customWidth="1"/>
    <col min="4" max="4" width="16.42578125" style="26" customWidth="1"/>
    <col min="5" max="5" width="5" style="26" customWidth="1"/>
    <col min="6" max="6" width="9.7109375" style="26" customWidth="1"/>
    <col min="7" max="7" width="10.85546875" style="26" customWidth="1"/>
    <col min="8" max="8" width="11.28515625" style="26" customWidth="1"/>
    <col min="9" max="9" width="6.28515625" style="26" customWidth="1"/>
    <col min="10" max="10" width="13.42578125" style="26" customWidth="1"/>
    <col min="11" max="11" width="13.7109375" style="26" customWidth="1"/>
    <col min="12" max="12" width="0.42578125" style="26" hidden="1" customWidth="1"/>
    <col min="13" max="13" width="3.140625" style="26" customWidth="1"/>
    <col min="14" max="14" width="17.140625" style="26" customWidth="1"/>
    <col min="15" max="15" width="8.7109375" style="26" customWidth="1"/>
    <col min="16" max="16" width="2.85546875" style="26" customWidth="1"/>
    <col min="17" max="17" width="12.5703125" style="26" customWidth="1"/>
    <col min="18" max="18" width="12.42578125" style="26" customWidth="1"/>
    <col min="19" max="19" width="16.85546875" style="26" customWidth="1"/>
    <col min="20" max="20" width="0.7109375" style="26" customWidth="1"/>
    <col min="21" max="21" width="3.7109375" style="26" hidden="1" customWidth="1"/>
    <col min="22" max="22" width="18.7109375" style="26" customWidth="1"/>
    <col min="23" max="23" width="46.28515625" style="26" customWidth="1"/>
    <col min="24" max="24" width="6.42578125" style="26" customWidth="1"/>
    <col min="25" max="25" width="6.28515625" style="26" customWidth="1"/>
    <col min="26" max="26" width="3.5703125" style="26" customWidth="1"/>
    <col min="27" max="27" width="2.85546875" style="26" customWidth="1"/>
    <col min="28" max="28" width="3.7109375" style="26" customWidth="1"/>
    <col min="29" max="29" width="12" style="26" customWidth="1"/>
    <col min="30" max="30" width="2.140625" style="26" customWidth="1"/>
    <col min="31" max="31" width="53.140625" style="26" customWidth="1"/>
    <col min="32" max="32" width="42.7109375" style="26" customWidth="1"/>
    <col min="33" max="33" width="6.140625" style="26" hidden="1" customWidth="1"/>
    <col min="34" max="34" width="2.28515625" style="26" hidden="1" customWidth="1"/>
    <col min="35" max="35" width="13.140625" style="26" customWidth="1"/>
    <col min="36" max="36" width="1.85546875" style="26" hidden="1" customWidth="1"/>
    <col min="37" max="37" width="43.42578125" style="26" customWidth="1"/>
    <col min="38" max="38" width="2.7109375" style="26" customWidth="1"/>
    <col min="39" max="39" width="38.5703125" style="26" customWidth="1"/>
    <col min="40" max="40" width="5.140625" style="26" customWidth="1"/>
    <col min="41" max="41" width="14.28515625" style="26" customWidth="1"/>
    <col min="42" max="42" width="18.42578125" style="26" customWidth="1"/>
    <col min="43" max="43" width="19" style="26" customWidth="1"/>
    <col min="44" max="44" width="3.7109375" style="26" customWidth="1"/>
    <col min="45" max="45" width="7.28515625" style="26" customWidth="1"/>
    <col min="46" max="46" width="10.28515625" style="26" customWidth="1"/>
    <col min="47" max="47" width="24.42578125" style="26" customWidth="1"/>
    <col min="48" max="48" width="3.7109375" style="26" customWidth="1"/>
    <col min="49" max="49" width="19.42578125" style="26" customWidth="1"/>
    <col min="50" max="50" width="9.7109375" style="26" customWidth="1"/>
    <col min="51" max="51" width="10" style="26" customWidth="1"/>
    <col min="52" max="52" width="3.28515625" style="26" customWidth="1"/>
    <col min="53" max="53" width="19.140625" style="26" customWidth="1"/>
    <col min="54" max="60" width="3.7109375" style="26" customWidth="1"/>
    <col min="61" max="61" width="12.140625" style="26" customWidth="1"/>
    <col min="62" max="62" width="3.7109375" style="26" customWidth="1"/>
    <col min="63" max="63" width="19.140625" style="26" customWidth="1"/>
    <col min="64" max="68" width="9.140625" style="26"/>
    <col min="69" max="70" width="9.140625" style="26" customWidth="1"/>
    <col min="71" max="16384" width="9.140625" style="26"/>
  </cols>
  <sheetData>
    <row r="1" spans="1:84" s="38" customFormat="1" ht="32.1" customHeight="1">
      <c r="A1" s="600" t="s">
        <v>837</v>
      </c>
      <c r="B1" s="595"/>
      <c r="C1" s="595"/>
      <c r="D1" s="595"/>
      <c r="E1" s="595"/>
      <c r="F1" s="595"/>
      <c r="G1" s="47"/>
      <c r="H1" s="542" t="s">
        <v>641</v>
      </c>
      <c r="I1" s="542"/>
      <c r="J1" s="542"/>
      <c r="K1" s="542"/>
      <c r="L1" s="542"/>
      <c r="M1" s="542"/>
      <c r="N1" s="542"/>
      <c r="O1" s="542"/>
      <c r="P1" s="542"/>
      <c r="Q1" s="542"/>
      <c r="R1" s="542"/>
      <c r="S1" s="542"/>
      <c r="T1" s="542"/>
      <c r="U1" s="542"/>
      <c r="V1" s="542"/>
      <c r="W1" s="542"/>
      <c r="X1" s="542"/>
      <c r="Y1" s="542"/>
      <c r="Z1" s="542"/>
      <c r="AA1" s="542"/>
      <c r="AB1" s="542"/>
      <c r="AC1" s="542"/>
      <c r="AD1" s="542"/>
      <c r="AE1" s="542"/>
      <c r="AF1" s="542"/>
      <c r="AG1" s="542"/>
      <c r="AH1" s="542"/>
      <c r="AI1" s="542"/>
      <c r="AJ1" s="542"/>
      <c r="AK1" s="542"/>
      <c r="AL1" s="542"/>
      <c r="AM1" s="542"/>
      <c r="AN1" s="542"/>
      <c r="AO1" s="542"/>
      <c r="AP1" s="542"/>
      <c r="AQ1" s="542"/>
      <c r="AR1" s="542"/>
      <c r="AS1" s="542"/>
      <c r="AT1" s="542"/>
      <c r="AU1" s="542"/>
      <c r="AV1" s="595"/>
      <c r="AW1" s="595"/>
      <c r="AX1" s="595"/>
      <c r="AY1" s="595"/>
      <c r="AZ1" s="595"/>
      <c r="BA1" s="596"/>
      <c r="BC1" s="42"/>
      <c r="BD1" s="42"/>
      <c r="BE1" s="537"/>
      <c r="BF1" s="537"/>
      <c r="BG1" s="537"/>
      <c r="BH1" s="537"/>
      <c r="BI1" s="42"/>
      <c r="BJ1" s="42"/>
      <c r="BK1" s="42"/>
      <c r="BL1" s="42"/>
      <c r="BM1" s="42"/>
      <c r="BN1" s="42"/>
    </row>
    <row r="2" spans="1:84" s="38" customFormat="1" ht="52.5" customHeight="1" thickBot="1">
      <c r="A2" s="601"/>
      <c r="B2" s="597"/>
      <c r="C2" s="597"/>
      <c r="D2" s="597"/>
      <c r="E2" s="597"/>
      <c r="F2" s="597"/>
      <c r="G2" s="48"/>
      <c r="H2" s="543"/>
      <c r="I2" s="543"/>
      <c r="J2" s="543"/>
      <c r="K2" s="543"/>
      <c r="L2" s="543"/>
      <c r="M2" s="543"/>
      <c r="N2" s="543"/>
      <c r="O2" s="543"/>
      <c r="P2" s="543"/>
      <c r="Q2" s="543"/>
      <c r="R2" s="543"/>
      <c r="S2" s="543"/>
      <c r="T2" s="543"/>
      <c r="U2" s="543"/>
      <c r="V2" s="543"/>
      <c r="W2" s="543"/>
      <c r="X2" s="543"/>
      <c r="Y2" s="543"/>
      <c r="Z2" s="543"/>
      <c r="AA2" s="543"/>
      <c r="AB2" s="543"/>
      <c r="AC2" s="543"/>
      <c r="AD2" s="543"/>
      <c r="AE2" s="543"/>
      <c r="AF2" s="543"/>
      <c r="AG2" s="543"/>
      <c r="AH2" s="543"/>
      <c r="AI2" s="543"/>
      <c r="AJ2" s="543"/>
      <c r="AK2" s="543"/>
      <c r="AL2" s="543"/>
      <c r="AM2" s="543"/>
      <c r="AN2" s="543"/>
      <c r="AO2" s="543"/>
      <c r="AP2" s="543"/>
      <c r="AQ2" s="543"/>
      <c r="AR2" s="543"/>
      <c r="AS2" s="543"/>
      <c r="AT2" s="543"/>
      <c r="AU2" s="543"/>
      <c r="AV2" s="597"/>
      <c r="AW2" s="597"/>
      <c r="AX2" s="597"/>
      <c r="AY2" s="597"/>
      <c r="AZ2" s="597"/>
      <c r="BA2" s="598"/>
      <c r="BC2" s="42"/>
      <c r="BD2" s="42"/>
      <c r="BE2" s="570"/>
      <c r="BF2" s="570"/>
      <c r="BG2" s="570"/>
      <c r="BH2" s="570"/>
      <c r="BI2" s="43"/>
      <c r="BJ2" s="42"/>
      <c r="BK2" s="42"/>
      <c r="BL2" s="42"/>
      <c r="BM2" s="42"/>
      <c r="BN2" s="42"/>
    </row>
    <row r="3" spans="1:84" s="38" customFormat="1" ht="39.950000000000003" customHeight="1">
      <c r="A3" s="601"/>
      <c r="B3" s="597"/>
      <c r="C3" s="597"/>
      <c r="D3" s="597"/>
      <c r="E3" s="597"/>
      <c r="F3" s="597"/>
      <c r="G3" s="48"/>
      <c r="H3" s="568" t="s">
        <v>25</v>
      </c>
      <c r="I3" s="562"/>
      <c r="J3" s="562"/>
      <c r="K3" s="562"/>
      <c r="L3" s="562"/>
      <c r="M3" s="569" t="s">
        <v>843</v>
      </c>
      <c r="N3" s="569"/>
      <c r="O3" s="569"/>
      <c r="P3" s="569"/>
      <c r="Q3" s="569"/>
      <c r="R3" s="562" t="s">
        <v>652</v>
      </c>
      <c r="S3" s="562"/>
      <c r="T3" s="562"/>
      <c r="U3" s="562"/>
      <c r="V3" s="562"/>
      <c r="W3" s="565" t="s">
        <v>850</v>
      </c>
      <c r="X3" s="565"/>
      <c r="Y3" s="565"/>
      <c r="Z3" s="565"/>
      <c r="AA3" s="565"/>
      <c r="AB3" s="562" t="s">
        <v>506</v>
      </c>
      <c r="AC3" s="562"/>
      <c r="AD3" s="562"/>
      <c r="AE3" s="562"/>
      <c r="AF3" s="562"/>
      <c r="AG3" s="553" t="s">
        <v>843</v>
      </c>
      <c r="AH3" s="553"/>
      <c r="AI3" s="553"/>
      <c r="AJ3" s="553"/>
      <c r="AK3" s="553"/>
      <c r="AL3" s="562" t="s">
        <v>668</v>
      </c>
      <c r="AM3" s="562"/>
      <c r="AN3" s="562"/>
      <c r="AO3" s="562"/>
      <c r="AP3" s="562"/>
      <c r="AQ3" s="548">
        <v>468</v>
      </c>
      <c r="AR3" s="548"/>
      <c r="AS3" s="548"/>
      <c r="AT3" s="548"/>
      <c r="AU3" s="549"/>
      <c r="AV3" s="597"/>
      <c r="AW3" s="597"/>
      <c r="AX3" s="597"/>
      <c r="AY3" s="597"/>
      <c r="AZ3" s="597"/>
      <c r="BA3" s="598"/>
      <c r="BC3" s="42"/>
      <c r="BD3" s="42"/>
      <c r="BE3" s="537"/>
      <c r="BF3" s="537"/>
      <c r="BG3" s="537"/>
      <c r="BH3" s="537"/>
      <c r="BI3" s="42"/>
      <c r="BJ3" s="42"/>
      <c r="BK3" s="42"/>
      <c r="BL3" s="42"/>
      <c r="BM3" s="42"/>
      <c r="BN3" s="42"/>
    </row>
    <row r="4" spans="1:84" s="38" customFormat="1" ht="39.950000000000003" customHeight="1">
      <c r="A4" s="601"/>
      <c r="B4" s="597"/>
      <c r="C4" s="597"/>
      <c r="D4" s="597"/>
      <c r="E4" s="597"/>
      <c r="F4" s="597"/>
      <c r="G4" s="48"/>
      <c r="H4" s="540" t="s">
        <v>653</v>
      </c>
      <c r="I4" s="541"/>
      <c r="J4" s="541"/>
      <c r="K4" s="541"/>
      <c r="L4" s="541"/>
      <c r="M4" s="414" t="s">
        <v>61</v>
      </c>
      <c r="N4" s="414"/>
      <c r="O4" s="414"/>
      <c r="P4" s="414"/>
      <c r="Q4" s="414"/>
      <c r="R4" s="541" t="s">
        <v>122</v>
      </c>
      <c r="S4" s="541"/>
      <c r="T4" s="541"/>
      <c r="U4" s="541"/>
      <c r="V4" s="541"/>
      <c r="W4" s="414" t="s">
        <v>844</v>
      </c>
      <c r="X4" s="414"/>
      <c r="Y4" s="414"/>
      <c r="Z4" s="414"/>
      <c r="AA4" s="414"/>
      <c r="AB4" s="541" t="s">
        <v>651</v>
      </c>
      <c r="AC4" s="541"/>
      <c r="AD4" s="541"/>
      <c r="AE4" s="541"/>
      <c r="AF4" s="541"/>
      <c r="AG4" s="523" t="s">
        <v>847</v>
      </c>
      <c r="AH4" s="523"/>
      <c r="AI4" s="523"/>
      <c r="AJ4" s="523"/>
      <c r="AK4" s="523"/>
      <c r="AL4" s="541" t="s">
        <v>24</v>
      </c>
      <c r="AM4" s="541"/>
      <c r="AN4" s="541"/>
      <c r="AO4" s="541"/>
      <c r="AP4" s="541"/>
      <c r="AQ4" s="550">
        <v>7.25</v>
      </c>
      <c r="AR4" s="550"/>
      <c r="AS4" s="550"/>
      <c r="AT4" s="550"/>
      <c r="AU4" s="551"/>
      <c r="AV4" s="597"/>
      <c r="AW4" s="597"/>
      <c r="AX4" s="597"/>
      <c r="AY4" s="597"/>
      <c r="AZ4" s="597"/>
      <c r="BA4" s="598"/>
      <c r="BC4" s="42"/>
      <c r="BD4" s="42"/>
      <c r="BE4" s="537"/>
      <c r="BF4" s="537"/>
      <c r="BG4" s="537"/>
      <c r="BH4" s="537"/>
      <c r="BI4" s="42"/>
      <c r="BJ4" s="42"/>
      <c r="BK4" s="42"/>
      <c r="BL4" s="42"/>
      <c r="BM4" s="42"/>
      <c r="BN4" s="42"/>
    </row>
    <row r="5" spans="1:84" s="38" customFormat="1" ht="39.950000000000003" customHeight="1">
      <c r="A5" s="601"/>
      <c r="B5" s="597"/>
      <c r="C5" s="597"/>
      <c r="D5" s="597"/>
      <c r="E5" s="597"/>
      <c r="F5" s="597"/>
      <c r="G5" s="48"/>
      <c r="H5" s="540" t="s">
        <v>647</v>
      </c>
      <c r="I5" s="541"/>
      <c r="J5" s="541"/>
      <c r="K5" s="541"/>
      <c r="L5" s="541"/>
      <c r="M5" s="414" t="s">
        <v>853</v>
      </c>
      <c r="N5" s="414"/>
      <c r="O5" s="414"/>
      <c r="P5" s="414"/>
      <c r="Q5" s="414"/>
      <c r="R5" s="541" t="s">
        <v>646</v>
      </c>
      <c r="S5" s="541"/>
      <c r="T5" s="541"/>
      <c r="U5" s="541"/>
      <c r="V5" s="541"/>
      <c r="W5" s="414" t="s">
        <v>845</v>
      </c>
      <c r="X5" s="414"/>
      <c r="Y5" s="414"/>
      <c r="Z5" s="414"/>
      <c r="AA5" s="414"/>
      <c r="AB5" s="541" t="s">
        <v>430</v>
      </c>
      <c r="AC5" s="541"/>
      <c r="AD5" s="541"/>
      <c r="AE5" s="541"/>
      <c r="AF5" s="541"/>
      <c r="AG5" s="523" t="s">
        <v>846</v>
      </c>
      <c r="AH5" s="523"/>
      <c r="AI5" s="523"/>
      <c r="AJ5" s="523"/>
      <c r="AK5" s="523"/>
      <c r="AL5" s="541" t="s">
        <v>556</v>
      </c>
      <c r="AM5" s="541"/>
      <c r="AN5" s="541"/>
      <c r="AO5" s="541"/>
      <c r="AP5" s="541"/>
      <c r="AQ5" s="501">
        <v>8</v>
      </c>
      <c r="AR5" s="501"/>
      <c r="AS5" s="501"/>
      <c r="AT5" s="501"/>
      <c r="AU5" s="552"/>
      <c r="AV5" s="597"/>
      <c r="AW5" s="597"/>
      <c r="AX5" s="597"/>
      <c r="AY5" s="597"/>
      <c r="AZ5" s="597"/>
      <c r="BA5" s="598"/>
      <c r="BC5" s="42"/>
      <c r="BD5" s="42"/>
      <c r="BE5" s="42"/>
      <c r="BF5" s="42"/>
      <c r="BG5" s="42"/>
      <c r="BH5" s="42"/>
      <c r="BI5" s="42"/>
      <c r="BJ5" s="42"/>
      <c r="BK5" s="42"/>
      <c r="BL5" s="42"/>
      <c r="BM5" s="42"/>
      <c r="BN5" s="42"/>
    </row>
    <row r="6" spans="1:84" s="38" customFormat="1" ht="39.950000000000003" customHeight="1">
      <c r="A6" s="601"/>
      <c r="B6" s="597"/>
      <c r="C6" s="597"/>
      <c r="D6" s="597"/>
      <c r="E6" s="597"/>
      <c r="F6" s="597"/>
      <c r="G6" s="48"/>
      <c r="H6" s="540" t="s">
        <v>557</v>
      </c>
      <c r="I6" s="541"/>
      <c r="J6" s="541"/>
      <c r="K6" s="541"/>
      <c r="L6" s="541"/>
      <c r="M6" s="567" t="s">
        <v>854</v>
      </c>
      <c r="N6" s="567"/>
      <c r="O6" s="567"/>
      <c r="P6" s="567"/>
      <c r="Q6" s="567"/>
      <c r="R6" s="545" t="s">
        <v>649</v>
      </c>
      <c r="S6" s="546"/>
      <c r="T6" s="546"/>
      <c r="U6" s="546"/>
      <c r="V6" s="547"/>
      <c r="W6" s="566" t="s">
        <v>941</v>
      </c>
      <c r="X6" s="414"/>
      <c r="Y6" s="414"/>
      <c r="Z6" s="414"/>
      <c r="AA6" s="414"/>
      <c r="AB6" s="545" t="s">
        <v>724</v>
      </c>
      <c r="AC6" s="546"/>
      <c r="AD6" s="546"/>
      <c r="AE6" s="546"/>
      <c r="AF6" s="547"/>
      <c r="AG6" s="414">
        <v>4180</v>
      </c>
      <c r="AH6" s="414"/>
      <c r="AI6" s="414"/>
      <c r="AJ6" s="414"/>
      <c r="AK6" s="414"/>
      <c r="AL6" s="564" t="s">
        <v>710</v>
      </c>
      <c r="AM6" s="564"/>
      <c r="AN6" s="564"/>
      <c r="AO6" s="564"/>
      <c r="AP6" s="564"/>
      <c r="AQ6" s="414" t="s">
        <v>727</v>
      </c>
      <c r="AR6" s="414"/>
      <c r="AS6" s="414"/>
      <c r="AT6" s="414"/>
      <c r="AU6" s="563"/>
      <c r="AV6" s="597"/>
      <c r="AW6" s="597"/>
      <c r="AX6" s="597"/>
      <c r="AY6" s="597"/>
      <c r="AZ6" s="597"/>
      <c r="BA6" s="598"/>
      <c r="BC6" s="42"/>
      <c r="BD6" s="42"/>
      <c r="BE6" s="42"/>
      <c r="BF6" s="42"/>
      <c r="BG6" s="42"/>
      <c r="BH6" s="42"/>
      <c r="BI6" s="42"/>
      <c r="BJ6" s="42"/>
      <c r="BK6" s="42"/>
      <c r="BL6" s="42"/>
      <c r="BM6" s="42"/>
      <c r="BN6" s="42"/>
    </row>
    <row r="7" spans="1:84" s="38" customFormat="1" ht="39.75" customHeight="1" thickBot="1">
      <c r="A7" s="601"/>
      <c r="B7" s="597"/>
      <c r="C7" s="597"/>
      <c r="D7" s="597"/>
      <c r="E7" s="597"/>
      <c r="F7" s="597"/>
      <c r="G7" s="48"/>
      <c r="H7" s="592" t="s">
        <v>555</v>
      </c>
      <c r="I7" s="593"/>
      <c r="J7" s="593"/>
      <c r="K7" s="593"/>
      <c r="L7" s="594"/>
      <c r="M7" s="554">
        <v>3.95</v>
      </c>
      <c r="N7" s="554"/>
      <c r="O7" s="554"/>
      <c r="P7" s="554"/>
      <c r="Q7" s="554"/>
      <c r="R7" s="538" t="s">
        <v>644</v>
      </c>
      <c r="S7" s="538"/>
      <c r="T7" s="538"/>
      <c r="U7" s="538"/>
      <c r="V7" s="538"/>
      <c r="W7" s="554">
        <v>14.45</v>
      </c>
      <c r="X7" s="554"/>
      <c r="Y7" s="554"/>
      <c r="Z7" s="554"/>
      <c r="AA7" s="554"/>
      <c r="AB7" s="538" t="s">
        <v>645</v>
      </c>
      <c r="AC7" s="538"/>
      <c r="AD7" s="538"/>
      <c r="AE7" s="538"/>
      <c r="AF7" s="538"/>
      <c r="AG7" s="554">
        <v>10.5</v>
      </c>
      <c r="AH7" s="554"/>
      <c r="AI7" s="554"/>
      <c r="AJ7" s="554"/>
      <c r="AK7" s="554"/>
      <c r="AL7" s="538" t="s">
        <v>706</v>
      </c>
      <c r="AM7" s="538"/>
      <c r="AN7" s="538"/>
      <c r="AO7" s="538"/>
      <c r="AP7" s="538"/>
      <c r="AQ7" s="554" t="s">
        <v>727</v>
      </c>
      <c r="AR7" s="554"/>
      <c r="AS7" s="554"/>
      <c r="AT7" s="554"/>
      <c r="AU7" s="555"/>
      <c r="AV7" s="597"/>
      <c r="AW7" s="597"/>
      <c r="AX7" s="597"/>
      <c r="AY7" s="597"/>
      <c r="AZ7" s="597"/>
      <c r="BA7" s="598"/>
      <c r="BC7" s="42"/>
      <c r="BD7" s="42"/>
      <c r="BE7" s="42"/>
      <c r="BF7" s="42"/>
      <c r="BG7" s="42"/>
      <c r="BH7" s="42"/>
      <c r="BI7" s="42"/>
      <c r="BJ7" s="42"/>
      <c r="BK7" s="570"/>
      <c r="BL7" s="570"/>
      <c r="BM7" s="570"/>
      <c r="BN7" s="570"/>
      <c r="BO7" s="570"/>
      <c r="BP7" s="570"/>
      <c r="BQ7" s="570"/>
      <c r="BR7" s="570"/>
      <c r="BS7" s="570"/>
      <c r="BT7" s="570"/>
      <c r="BU7" s="570"/>
      <c r="BV7" s="570"/>
      <c r="BW7" s="570"/>
      <c r="BX7" s="570"/>
      <c r="BY7" s="570"/>
      <c r="BZ7" s="570"/>
      <c r="CA7" s="570"/>
      <c r="CB7" s="570"/>
      <c r="CC7" s="570"/>
      <c r="CD7" s="570"/>
      <c r="CE7" s="570"/>
      <c r="CF7" s="570"/>
    </row>
    <row r="8" spans="1:84" s="38" customFormat="1" ht="39.75" customHeight="1" thickBot="1">
      <c r="A8" s="49"/>
      <c r="B8" s="48"/>
      <c r="C8" s="48"/>
      <c r="D8" s="48"/>
      <c r="E8" s="48"/>
      <c r="F8" s="48"/>
      <c r="G8" s="48"/>
      <c r="H8" s="48"/>
      <c r="I8" s="48"/>
      <c r="J8" s="48"/>
      <c r="K8" s="48"/>
      <c r="L8" s="48"/>
      <c r="M8" s="48"/>
      <c r="N8" s="48"/>
      <c r="O8" s="48"/>
      <c r="P8" s="48"/>
      <c r="Q8" s="48"/>
      <c r="R8" s="48"/>
      <c r="S8" s="48"/>
      <c r="T8" s="48"/>
      <c r="U8" s="48"/>
      <c r="V8" s="48"/>
      <c r="W8" s="48"/>
      <c r="X8" s="48"/>
      <c r="Y8" s="48"/>
      <c r="Z8" s="48"/>
      <c r="AA8" s="48"/>
      <c r="AB8" s="48"/>
      <c r="AC8" s="48"/>
      <c r="AD8" s="48"/>
      <c r="AE8" s="48"/>
      <c r="AF8" s="48"/>
      <c r="AG8" s="48"/>
      <c r="AH8" s="48"/>
      <c r="AI8" s="48"/>
      <c r="AJ8" s="48"/>
      <c r="AK8" s="48"/>
      <c r="AL8" s="48"/>
      <c r="AM8" s="48"/>
      <c r="AN8" s="48"/>
      <c r="AO8" s="48"/>
      <c r="AP8" s="48"/>
      <c r="AQ8" s="48"/>
      <c r="AR8" s="48"/>
      <c r="AS8" s="48"/>
      <c r="AT8" s="48"/>
      <c r="AU8" s="48"/>
      <c r="AV8" s="48"/>
      <c r="AW8" s="48"/>
      <c r="AX8" s="48"/>
      <c r="AY8" s="48"/>
      <c r="AZ8" s="48"/>
      <c r="BA8" s="50"/>
      <c r="BC8" s="42"/>
      <c r="BD8" s="42"/>
      <c r="BE8" s="42"/>
      <c r="BF8" s="42"/>
      <c r="BG8" s="42"/>
      <c r="BH8" s="42"/>
      <c r="BI8" s="42"/>
      <c r="BJ8" s="42"/>
      <c r="BK8" s="570"/>
      <c r="BL8" s="570"/>
      <c r="BM8" s="570"/>
      <c r="BN8" s="570"/>
      <c r="BO8" s="570"/>
      <c r="BP8" s="570"/>
      <c r="BQ8" s="570"/>
      <c r="BR8" s="570"/>
      <c r="BS8" s="570"/>
      <c r="BT8" s="570"/>
      <c r="BU8" s="570"/>
      <c r="BV8" s="570"/>
      <c r="BW8" s="570"/>
      <c r="BX8" s="570"/>
      <c r="BY8" s="570"/>
      <c r="BZ8" s="570"/>
      <c r="CA8" s="570"/>
      <c r="CB8" s="570"/>
      <c r="CC8" s="570"/>
      <c r="CD8" s="570"/>
      <c r="CE8" s="570"/>
      <c r="CF8" s="570"/>
    </row>
    <row r="9" spans="1:84" s="38" customFormat="1" ht="50.1" customHeight="1">
      <c r="A9" s="589" t="s">
        <v>654</v>
      </c>
      <c r="B9" s="544"/>
      <c r="C9" s="544"/>
      <c r="D9" s="544"/>
      <c r="E9" s="544"/>
      <c r="F9" s="539" t="s">
        <v>658</v>
      </c>
      <c r="G9" s="539"/>
      <c r="H9" s="539" t="s">
        <v>499</v>
      </c>
      <c r="I9" s="539"/>
      <c r="J9" s="539" t="s">
        <v>494</v>
      </c>
      <c r="K9" s="539"/>
      <c r="L9" s="556" t="s">
        <v>747</v>
      </c>
      <c r="M9" s="556"/>
      <c r="N9" s="556"/>
      <c r="O9" s="556"/>
      <c r="P9" s="556"/>
      <c r="Q9" s="556"/>
      <c r="R9" s="602">
        <v>155</v>
      </c>
      <c r="S9" s="602"/>
      <c r="T9" s="602"/>
      <c r="U9" s="602"/>
      <c r="V9" s="602"/>
      <c r="W9" s="544" t="s">
        <v>923</v>
      </c>
      <c r="X9" s="544"/>
      <c r="Y9" s="544"/>
      <c r="Z9" s="544"/>
      <c r="AA9" s="544"/>
      <c r="AB9" s="602" t="s">
        <v>924</v>
      </c>
      <c r="AC9" s="602"/>
      <c r="AD9" s="602"/>
      <c r="AE9" s="602"/>
      <c r="AF9" s="73" t="s">
        <v>719</v>
      </c>
      <c r="AG9" s="74"/>
      <c r="AH9" s="74"/>
      <c r="AI9" s="612" t="s">
        <v>934</v>
      </c>
      <c r="AJ9" s="612"/>
      <c r="AK9" s="612"/>
      <c r="AL9" s="613"/>
      <c r="AM9" s="557" t="s">
        <v>671</v>
      </c>
      <c r="AN9" s="558"/>
      <c r="AO9" s="558"/>
      <c r="AP9" s="558"/>
      <c r="AQ9" s="558"/>
      <c r="AR9" s="558"/>
      <c r="AS9" s="558"/>
      <c r="AT9" s="558"/>
      <c r="AU9" s="558"/>
      <c r="AV9" s="558"/>
      <c r="AW9" s="558"/>
      <c r="AX9" s="558"/>
      <c r="AY9" s="558"/>
      <c r="AZ9" s="558"/>
      <c r="BA9" s="559"/>
      <c r="BC9" s="42"/>
      <c r="BD9" s="42"/>
      <c r="BE9" s="42"/>
      <c r="BF9" s="42"/>
      <c r="BG9" s="42"/>
      <c r="BH9" s="42"/>
      <c r="BI9" s="42"/>
      <c r="BJ9" s="42"/>
      <c r="BK9" s="570"/>
      <c r="BL9" s="570"/>
      <c r="BM9" s="570"/>
      <c r="BN9" s="570"/>
      <c r="BO9" s="570"/>
      <c r="BP9" s="570"/>
      <c r="BQ9" s="570"/>
      <c r="BR9" s="570"/>
      <c r="BS9" s="570"/>
      <c r="BT9" s="570"/>
      <c r="BU9" s="570"/>
      <c r="BV9" s="570"/>
      <c r="BW9" s="570"/>
      <c r="BX9" s="570"/>
      <c r="BY9" s="570"/>
      <c r="BZ9" s="570"/>
      <c r="CA9" s="570"/>
      <c r="CB9" s="570"/>
      <c r="CC9" s="570"/>
      <c r="CD9" s="570"/>
      <c r="CE9" s="570"/>
      <c r="CF9" s="570"/>
    </row>
    <row r="10" spans="1:84" s="38" customFormat="1" ht="50.1" customHeight="1">
      <c r="A10" s="590" t="s">
        <v>657</v>
      </c>
      <c r="B10" s="591"/>
      <c r="C10" s="591"/>
      <c r="D10" s="591"/>
      <c r="E10" s="591"/>
      <c r="F10" s="482">
        <v>2024</v>
      </c>
      <c r="G10" s="483"/>
      <c r="H10" s="482" t="s">
        <v>685</v>
      </c>
      <c r="I10" s="483"/>
      <c r="J10" s="482">
        <v>15</v>
      </c>
      <c r="K10" s="483"/>
      <c r="L10" s="561" t="s">
        <v>745</v>
      </c>
      <c r="M10" s="561"/>
      <c r="N10" s="561"/>
      <c r="O10" s="561"/>
      <c r="P10" s="561"/>
      <c r="Q10" s="561"/>
      <c r="R10" s="655">
        <v>225</v>
      </c>
      <c r="S10" s="655"/>
      <c r="T10" s="655"/>
      <c r="U10" s="655"/>
      <c r="V10" s="655"/>
      <c r="W10" s="591" t="s">
        <v>721</v>
      </c>
      <c r="X10" s="591"/>
      <c r="Y10" s="591"/>
      <c r="Z10" s="591"/>
      <c r="AA10" s="591"/>
      <c r="AB10" s="603" t="s">
        <v>992</v>
      </c>
      <c r="AC10" s="603"/>
      <c r="AD10" s="603"/>
      <c r="AE10" s="603"/>
      <c r="AF10" s="75" t="s">
        <v>718</v>
      </c>
      <c r="AG10" s="76"/>
      <c r="AH10" s="76"/>
      <c r="AI10" s="652" t="s">
        <v>933</v>
      </c>
      <c r="AJ10" s="652"/>
      <c r="AK10" s="652"/>
      <c r="AL10" s="653"/>
      <c r="AM10" s="275" t="s">
        <v>672</v>
      </c>
      <c r="AN10" s="560" t="s">
        <v>673</v>
      </c>
      <c r="AO10" s="560"/>
      <c r="AP10" s="264" t="s">
        <v>674</v>
      </c>
      <c r="AQ10" s="264" t="s">
        <v>669</v>
      </c>
      <c r="AR10" s="560" t="s">
        <v>675</v>
      </c>
      <c r="AS10" s="560"/>
      <c r="AT10" s="560"/>
      <c r="AU10" s="263" t="s">
        <v>670</v>
      </c>
      <c r="AV10" s="610" t="s">
        <v>676</v>
      </c>
      <c r="AW10" s="610"/>
      <c r="AX10" s="610" t="s">
        <v>688</v>
      </c>
      <c r="AY10" s="610"/>
      <c r="AZ10" s="610" t="s">
        <v>689</v>
      </c>
      <c r="BA10" s="611"/>
      <c r="BC10" s="42"/>
      <c r="BD10" s="42"/>
      <c r="BE10" s="42"/>
      <c r="BF10" s="42"/>
      <c r="BG10" s="42"/>
      <c r="BH10" s="42"/>
      <c r="BI10" s="42"/>
      <c r="BJ10" s="42"/>
      <c r="BK10" s="570"/>
      <c r="BL10" s="570"/>
      <c r="BM10" s="570"/>
      <c r="BN10" s="570"/>
      <c r="BO10" s="570"/>
      <c r="BP10" s="570"/>
      <c r="BQ10" s="570"/>
      <c r="BR10" s="570"/>
      <c r="BS10" s="570"/>
      <c r="BT10" s="570"/>
      <c r="BU10" s="570"/>
      <c r="BV10" s="570"/>
      <c r="BW10" s="570"/>
      <c r="BX10" s="570"/>
      <c r="BY10" s="570"/>
      <c r="BZ10" s="570"/>
      <c r="CA10" s="570"/>
      <c r="CB10" s="570"/>
      <c r="CC10" s="570"/>
      <c r="CD10" s="570"/>
      <c r="CE10" s="570"/>
      <c r="CF10" s="570"/>
    </row>
    <row r="11" spans="1:84" s="38" customFormat="1" ht="50.1" customHeight="1">
      <c r="A11" s="590" t="s">
        <v>656</v>
      </c>
      <c r="B11" s="591"/>
      <c r="C11" s="591"/>
      <c r="D11" s="591"/>
      <c r="E11" s="591"/>
      <c r="F11" s="587">
        <v>2024</v>
      </c>
      <c r="G11" s="588"/>
      <c r="H11" s="587" t="s">
        <v>685</v>
      </c>
      <c r="I11" s="588"/>
      <c r="J11" s="587">
        <v>22</v>
      </c>
      <c r="K11" s="588"/>
      <c r="L11" s="561" t="s">
        <v>746</v>
      </c>
      <c r="M11" s="561"/>
      <c r="N11" s="561"/>
      <c r="O11" s="561"/>
      <c r="P11" s="561"/>
      <c r="Q11" s="561"/>
      <c r="R11" s="656">
        <v>310</v>
      </c>
      <c r="S11" s="656"/>
      <c r="T11" s="656"/>
      <c r="U11" s="656"/>
      <c r="V11" s="656"/>
      <c r="W11" s="591" t="s">
        <v>720</v>
      </c>
      <c r="X11" s="591"/>
      <c r="Y11" s="591"/>
      <c r="Z11" s="591"/>
      <c r="AA11" s="591"/>
      <c r="AB11" s="603" t="s">
        <v>965</v>
      </c>
      <c r="AC11" s="603"/>
      <c r="AD11" s="603"/>
      <c r="AE11" s="603"/>
      <c r="AF11" s="75" t="s">
        <v>717</v>
      </c>
      <c r="AG11" s="76"/>
      <c r="AH11" s="76"/>
      <c r="AI11" s="652">
        <v>3472595</v>
      </c>
      <c r="AJ11" s="652"/>
      <c r="AK11" s="652"/>
      <c r="AL11" s="653"/>
      <c r="AM11" s="276" t="s">
        <v>911</v>
      </c>
      <c r="AN11" s="414" t="s">
        <v>912</v>
      </c>
      <c r="AO11" s="414"/>
      <c r="AP11" s="260">
        <v>149</v>
      </c>
      <c r="AQ11" s="260" t="s">
        <v>913</v>
      </c>
      <c r="AR11" s="414">
        <v>94</v>
      </c>
      <c r="AS11" s="414"/>
      <c r="AT11" s="414"/>
      <c r="AU11" s="260" t="s">
        <v>914</v>
      </c>
      <c r="AV11" s="414">
        <v>149</v>
      </c>
      <c r="AW11" s="414"/>
      <c r="AX11" s="414">
        <v>2110</v>
      </c>
      <c r="AY11" s="414"/>
      <c r="AZ11" s="414">
        <v>520</v>
      </c>
      <c r="BA11" s="563"/>
      <c r="BC11" s="570"/>
      <c r="BD11" s="570"/>
      <c r="BE11" s="570"/>
      <c r="BF11" s="570"/>
      <c r="BG11" s="570"/>
      <c r="BH11" s="42"/>
      <c r="BI11" s="42"/>
      <c r="BJ11" s="42"/>
      <c r="BK11" s="570"/>
      <c r="BL11" s="570"/>
      <c r="BM11" s="570"/>
      <c r="BN11" s="570"/>
      <c r="BO11" s="570"/>
      <c r="BP11" s="570"/>
      <c r="BQ11" s="570"/>
      <c r="BR11" s="570"/>
      <c r="BS11" s="570"/>
      <c r="BT11" s="570"/>
      <c r="BU11" s="570"/>
      <c r="BV11" s="570"/>
      <c r="BW11" s="570"/>
      <c r="BX11" s="570"/>
      <c r="BY11" s="570"/>
      <c r="BZ11" s="570"/>
      <c r="CA11" s="570"/>
      <c r="CB11" s="570"/>
      <c r="CC11" s="570"/>
      <c r="CD11" s="570"/>
      <c r="CE11" s="570"/>
      <c r="CF11" s="570"/>
    </row>
    <row r="12" spans="1:84" s="38" customFormat="1" ht="50.1" customHeight="1">
      <c r="A12" s="590" t="s">
        <v>655</v>
      </c>
      <c r="B12" s="591"/>
      <c r="C12" s="591"/>
      <c r="D12" s="591"/>
      <c r="E12" s="591"/>
      <c r="F12" s="482">
        <v>2024</v>
      </c>
      <c r="G12" s="483"/>
      <c r="H12" s="528" t="s">
        <v>685</v>
      </c>
      <c r="I12" s="530"/>
      <c r="J12" s="1031">
        <v>22</v>
      </c>
      <c r="K12" s="1032"/>
      <c r="L12" s="591" t="s">
        <v>714</v>
      </c>
      <c r="M12" s="591"/>
      <c r="N12" s="591"/>
      <c r="O12" s="591"/>
      <c r="P12" s="591"/>
      <c r="Q12" s="591"/>
      <c r="R12" s="657">
        <f>R10-R9</f>
        <v>70</v>
      </c>
      <c r="S12" s="657"/>
      <c r="T12" s="657"/>
      <c r="U12" s="657"/>
      <c r="V12" s="657"/>
      <c r="W12" s="618" t="s">
        <v>722</v>
      </c>
      <c r="X12" s="619"/>
      <c r="Y12" s="619"/>
      <c r="Z12" s="619"/>
      <c r="AA12" s="620"/>
      <c r="AB12" s="615" t="s">
        <v>855</v>
      </c>
      <c r="AC12" s="616"/>
      <c r="AD12" s="616"/>
      <c r="AE12" s="617"/>
      <c r="AF12" s="75" t="s">
        <v>756</v>
      </c>
      <c r="AG12" s="76"/>
      <c r="AH12" s="76"/>
      <c r="AI12" s="652">
        <v>196977</v>
      </c>
      <c r="AJ12" s="652"/>
      <c r="AK12" s="652"/>
      <c r="AL12" s="653"/>
      <c r="AM12" s="276"/>
      <c r="AN12" s="414"/>
      <c r="AO12" s="414"/>
      <c r="AP12" s="260"/>
      <c r="AQ12" s="260"/>
      <c r="AR12" s="414"/>
      <c r="AS12" s="414"/>
      <c r="AT12" s="414"/>
      <c r="AU12" s="260"/>
      <c r="AV12" s="414"/>
      <c r="AW12" s="414"/>
      <c r="AX12" s="414"/>
      <c r="AY12" s="414"/>
      <c r="AZ12" s="414"/>
      <c r="BA12" s="563"/>
      <c r="BC12" s="42"/>
      <c r="BD12" s="42"/>
      <c r="BE12" s="42"/>
      <c r="BF12" s="42"/>
      <c r="BG12" s="42"/>
      <c r="BH12" s="42"/>
      <c r="BI12" s="42"/>
      <c r="BJ12" s="42"/>
      <c r="BK12" s="570"/>
      <c r="BL12" s="570"/>
      <c r="BM12" s="570"/>
      <c r="BN12" s="570"/>
      <c r="BO12" s="570"/>
      <c r="BP12" s="570"/>
      <c r="BQ12" s="570"/>
      <c r="BR12" s="570"/>
      <c r="BS12" s="570"/>
      <c r="BT12" s="570"/>
      <c r="BU12" s="570"/>
      <c r="BV12" s="570"/>
      <c r="BW12" s="570"/>
      <c r="BX12" s="570"/>
      <c r="BY12" s="570"/>
      <c r="BZ12" s="570"/>
      <c r="CA12" s="570"/>
      <c r="CB12" s="570"/>
      <c r="CC12" s="570"/>
      <c r="CD12" s="570"/>
      <c r="CE12" s="570"/>
      <c r="CF12" s="570"/>
    </row>
    <row r="13" spans="1:84" s="38" customFormat="1" ht="56.25" customHeight="1">
      <c r="A13" s="661" t="s">
        <v>725</v>
      </c>
      <c r="B13" s="619"/>
      <c r="C13" s="619"/>
      <c r="D13" s="619"/>
      <c r="E13" s="620"/>
      <c r="F13" s="482">
        <v>2024</v>
      </c>
      <c r="G13" s="483"/>
      <c r="H13" s="482" t="s">
        <v>684</v>
      </c>
      <c r="I13" s="483"/>
      <c r="J13" s="482">
        <v>30</v>
      </c>
      <c r="K13" s="483"/>
      <c r="L13" s="591" t="s">
        <v>744</v>
      </c>
      <c r="M13" s="591"/>
      <c r="N13" s="591"/>
      <c r="O13" s="591"/>
      <c r="P13" s="591"/>
      <c r="Q13" s="591"/>
      <c r="R13" s="609">
        <f>IF(ISNUMBER(R12/BA25)=TRUE,R12/BA25," ")</f>
        <v>4.666666666666667</v>
      </c>
      <c r="S13" s="609"/>
      <c r="T13" s="609"/>
      <c r="U13" s="609"/>
      <c r="V13" s="609"/>
      <c r="W13" s="604" t="s">
        <v>723</v>
      </c>
      <c r="X13" s="605"/>
      <c r="Y13" s="605"/>
      <c r="Z13" s="605"/>
      <c r="AA13" s="606"/>
      <c r="AB13" s="603" t="s">
        <v>727</v>
      </c>
      <c r="AC13" s="603"/>
      <c r="AD13" s="603"/>
      <c r="AE13" s="603"/>
      <c r="AF13" s="75" t="s">
        <v>716</v>
      </c>
      <c r="AG13" s="76"/>
      <c r="AH13" s="76"/>
      <c r="AI13" s="652" t="s">
        <v>727</v>
      </c>
      <c r="AJ13" s="652"/>
      <c r="AK13" s="652"/>
      <c r="AL13" s="653"/>
      <c r="AM13" s="277"/>
      <c r="AN13" s="414"/>
      <c r="AO13" s="414"/>
      <c r="AP13" s="265"/>
      <c r="AQ13" s="260"/>
      <c r="AR13" s="414"/>
      <c r="AS13" s="414"/>
      <c r="AT13" s="414"/>
      <c r="AU13" s="260"/>
      <c r="AV13" s="414"/>
      <c r="AW13" s="414"/>
      <c r="AX13" s="414"/>
      <c r="AY13" s="414"/>
      <c r="AZ13" s="414"/>
      <c r="BA13" s="563"/>
      <c r="BC13" s="39"/>
      <c r="BD13" s="39"/>
      <c r="BE13" s="39"/>
      <c r="BF13" s="39"/>
      <c r="BG13" s="39"/>
      <c r="BK13" s="570"/>
      <c r="BL13" s="570"/>
      <c r="BM13" s="570"/>
      <c r="BN13" s="570"/>
      <c r="BO13" s="570"/>
      <c r="BP13" s="570"/>
      <c r="BQ13" s="570"/>
      <c r="BR13" s="570"/>
      <c r="BS13" s="570"/>
      <c r="BT13" s="570"/>
      <c r="BU13" s="570"/>
      <c r="BV13" s="570"/>
      <c r="BW13" s="570"/>
      <c r="BX13" s="570"/>
      <c r="BY13" s="570"/>
      <c r="BZ13" s="570"/>
      <c r="CA13" s="570"/>
      <c r="CB13" s="570"/>
      <c r="CC13" s="570"/>
      <c r="CD13" s="570"/>
      <c r="CE13" s="570"/>
      <c r="CF13" s="570"/>
    </row>
    <row r="14" spans="1:84" s="38" customFormat="1" ht="63" customHeight="1">
      <c r="A14" s="590" t="s">
        <v>650</v>
      </c>
      <c r="B14" s="591"/>
      <c r="C14" s="591"/>
      <c r="D14" s="591"/>
      <c r="E14" s="591"/>
      <c r="F14" s="591"/>
      <c r="G14" s="591"/>
      <c r="H14" s="591"/>
      <c r="I14" s="591"/>
      <c r="J14" s="501">
        <v>70</v>
      </c>
      <c r="K14" s="501"/>
      <c r="L14" s="591" t="s">
        <v>713</v>
      </c>
      <c r="M14" s="591"/>
      <c r="N14" s="591"/>
      <c r="O14" s="591"/>
      <c r="P14" s="591"/>
      <c r="Q14" s="591"/>
      <c r="R14" s="603">
        <v>12</v>
      </c>
      <c r="S14" s="603"/>
      <c r="T14" s="603"/>
      <c r="U14" s="603"/>
      <c r="V14" s="603"/>
      <c r="W14" s="591" t="s">
        <v>429</v>
      </c>
      <c r="X14" s="591"/>
      <c r="Y14" s="591"/>
      <c r="Z14" s="591"/>
      <c r="AA14" s="591"/>
      <c r="AB14" s="603" t="s">
        <v>851</v>
      </c>
      <c r="AC14" s="603"/>
      <c r="AD14" s="603"/>
      <c r="AE14" s="603"/>
      <c r="AF14" s="75" t="s">
        <v>715</v>
      </c>
      <c r="AG14" s="76"/>
      <c r="AH14" s="76"/>
      <c r="AI14" s="607" t="s">
        <v>727</v>
      </c>
      <c r="AJ14" s="607"/>
      <c r="AK14" s="607"/>
      <c r="AL14" s="608"/>
      <c r="AM14" s="277"/>
      <c r="AN14" s="614"/>
      <c r="AO14" s="614"/>
      <c r="AP14" s="260"/>
      <c r="AQ14" s="260"/>
      <c r="AR14" s="414"/>
      <c r="AS14" s="414"/>
      <c r="AT14" s="414"/>
      <c r="AU14" s="260"/>
      <c r="AV14" s="414"/>
      <c r="AW14" s="414"/>
      <c r="AX14" s="414"/>
      <c r="AY14" s="414"/>
      <c r="AZ14" s="414"/>
      <c r="BA14" s="563"/>
      <c r="BC14" s="39"/>
      <c r="BD14" s="39"/>
      <c r="BE14" s="39"/>
      <c r="BF14" s="39"/>
      <c r="BG14" s="39"/>
      <c r="BK14" s="570"/>
      <c r="BL14" s="570"/>
      <c r="BM14" s="570"/>
      <c r="BN14" s="570"/>
      <c r="BO14" s="570"/>
      <c r="BP14" s="570"/>
      <c r="BQ14" s="570"/>
      <c r="BR14" s="570"/>
      <c r="BS14" s="570"/>
      <c r="BT14" s="570"/>
      <c r="BU14" s="570"/>
      <c r="BV14" s="570"/>
      <c r="BW14" s="570"/>
      <c r="BX14" s="570"/>
      <c r="BY14" s="570"/>
      <c r="BZ14" s="570"/>
      <c r="CA14" s="570"/>
      <c r="CB14" s="570"/>
      <c r="CC14" s="570"/>
      <c r="CD14" s="570"/>
      <c r="CE14" s="570"/>
      <c r="CF14" s="570"/>
    </row>
    <row r="15" spans="1:84" s="38" customFormat="1" ht="75" customHeight="1" thickBot="1">
      <c r="A15" s="630" t="s">
        <v>712</v>
      </c>
      <c r="B15" s="631"/>
      <c r="C15" s="631"/>
      <c r="D15" s="631"/>
      <c r="E15" s="631"/>
      <c r="F15" s="631"/>
      <c r="G15" s="631"/>
      <c r="H15" s="631"/>
      <c r="I15" s="631"/>
      <c r="J15" s="636"/>
      <c r="K15" s="636"/>
      <c r="L15" s="77"/>
      <c r="M15" s="658" t="s">
        <v>648</v>
      </c>
      <c r="N15" s="659"/>
      <c r="O15" s="659"/>
      <c r="P15" s="659"/>
      <c r="Q15" s="660"/>
      <c r="R15" s="1033">
        <v>151</v>
      </c>
      <c r="S15" s="1034"/>
      <c r="T15" s="1034"/>
      <c r="U15" s="1034"/>
      <c r="V15" s="1035"/>
      <c r="W15" s="631" t="s">
        <v>462</v>
      </c>
      <c r="X15" s="631"/>
      <c r="Y15" s="631"/>
      <c r="Z15" s="631"/>
      <c r="AA15" s="631"/>
      <c r="AB15" s="624" t="s">
        <v>856</v>
      </c>
      <c r="AC15" s="624"/>
      <c r="AD15" s="624"/>
      <c r="AE15" s="624"/>
      <c r="AF15" s="281" t="s">
        <v>759</v>
      </c>
      <c r="AG15" s="77"/>
      <c r="AH15" s="77"/>
      <c r="AI15" s="625" t="s">
        <v>849</v>
      </c>
      <c r="AJ15" s="626"/>
      <c r="AK15" s="626"/>
      <c r="AL15" s="627"/>
      <c r="AM15" s="278"/>
      <c r="AN15" s="628"/>
      <c r="AO15" s="628"/>
      <c r="AP15" s="262"/>
      <c r="AQ15" s="262"/>
      <c r="AR15" s="628"/>
      <c r="AS15" s="628"/>
      <c r="AT15" s="628"/>
      <c r="AU15" s="261"/>
      <c r="AV15" s="621"/>
      <c r="AW15" s="621"/>
      <c r="AX15" s="621"/>
      <c r="AY15" s="621"/>
      <c r="AZ15" s="621"/>
      <c r="BA15" s="635"/>
      <c r="BB15" s="40"/>
      <c r="BC15" s="40"/>
      <c r="BK15" s="570"/>
      <c r="BL15" s="570"/>
      <c r="BM15" s="570"/>
      <c r="BN15" s="570"/>
      <c r="BO15" s="570"/>
      <c r="BP15" s="570"/>
      <c r="BQ15" s="570"/>
      <c r="BR15" s="570"/>
      <c r="BS15" s="570"/>
      <c r="BT15" s="570"/>
      <c r="BU15" s="570"/>
      <c r="BV15" s="570"/>
      <c r="BW15" s="570"/>
      <c r="BX15" s="570"/>
      <c r="BY15" s="570"/>
      <c r="BZ15" s="570"/>
      <c r="CA15" s="570"/>
      <c r="CB15" s="570"/>
      <c r="CC15" s="570"/>
      <c r="CD15" s="570"/>
      <c r="CE15" s="570"/>
      <c r="CF15" s="570"/>
    </row>
    <row r="16" spans="1:84" ht="48" customHeight="1">
      <c r="A16" s="584" t="s">
        <v>121</v>
      </c>
      <c r="B16" s="585"/>
      <c r="C16" s="585"/>
      <c r="D16" s="585"/>
      <c r="E16" s="585"/>
      <c r="F16" s="585"/>
      <c r="G16" s="585"/>
      <c r="H16" s="585"/>
      <c r="I16" s="585"/>
      <c r="J16" s="585"/>
      <c r="K16" s="585"/>
      <c r="L16" s="585"/>
      <c r="M16" s="585"/>
      <c r="N16" s="585"/>
      <c r="O16" s="585"/>
      <c r="P16" s="585"/>
      <c r="Q16" s="585"/>
      <c r="R16" s="585"/>
      <c r="S16" s="585"/>
      <c r="T16" s="585"/>
      <c r="U16" s="585"/>
      <c r="V16" s="585"/>
      <c r="W16" s="585"/>
      <c r="X16" s="585"/>
      <c r="Y16" s="585"/>
      <c r="Z16" s="585"/>
      <c r="AA16" s="585"/>
      <c r="AB16" s="585"/>
      <c r="AC16" s="585"/>
      <c r="AD16" s="585"/>
      <c r="AE16" s="585"/>
      <c r="AF16" s="585"/>
      <c r="AG16" s="585"/>
      <c r="AH16" s="585"/>
      <c r="AI16" s="585"/>
      <c r="AJ16" s="585"/>
      <c r="AK16" s="585"/>
      <c r="AL16" s="585"/>
      <c r="AM16" s="585"/>
      <c r="AN16" s="585"/>
      <c r="AO16" s="585"/>
      <c r="AP16" s="585"/>
      <c r="AQ16" s="585"/>
      <c r="AR16" s="585"/>
      <c r="AS16" s="585"/>
      <c r="AT16" s="585"/>
      <c r="AU16" s="585"/>
      <c r="AV16" s="585"/>
      <c r="AW16" s="585"/>
      <c r="AX16" s="585"/>
      <c r="AY16" s="585"/>
      <c r="AZ16" s="585"/>
      <c r="BA16" s="586"/>
      <c r="BB16" s="27"/>
      <c r="BC16" s="27"/>
      <c r="BK16" s="570"/>
      <c r="BL16" s="570"/>
      <c r="BM16" s="570"/>
      <c r="BN16" s="570"/>
      <c r="BO16" s="570"/>
      <c r="BP16" s="570"/>
      <c r="BQ16" s="570"/>
      <c r="BR16" s="570"/>
      <c r="BS16" s="570"/>
      <c r="BT16" s="570"/>
      <c r="BU16" s="570"/>
      <c r="BV16" s="570"/>
      <c r="BW16" s="570"/>
      <c r="BX16" s="570"/>
      <c r="BY16" s="570"/>
      <c r="BZ16" s="570"/>
      <c r="CA16" s="570"/>
      <c r="CB16" s="570"/>
      <c r="CC16" s="570"/>
      <c r="CD16" s="570"/>
      <c r="CE16" s="570"/>
      <c r="CF16" s="570"/>
    </row>
    <row r="17" spans="1:84" ht="59.25" customHeight="1">
      <c r="A17" s="638" t="s">
        <v>971</v>
      </c>
      <c r="B17" s="639"/>
      <c r="C17" s="639"/>
      <c r="D17" s="639"/>
      <c r="E17" s="639"/>
      <c r="F17" s="639"/>
      <c r="G17" s="639"/>
      <c r="H17" s="639"/>
      <c r="I17" s="639"/>
      <c r="J17" s="639"/>
      <c r="K17" s="639"/>
      <c r="L17" s="639"/>
      <c r="M17" s="639"/>
      <c r="N17" s="639"/>
      <c r="O17" s="639"/>
      <c r="P17" s="639"/>
      <c r="Q17" s="639"/>
      <c r="R17" s="639"/>
      <c r="S17" s="639"/>
      <c r="T17" s="639"/>
      <c r="U17" s="639"/>
      <c r="V17" s="639"/>
      <c r="W17" s="639"/>
      <c r="X17" s="639"/>
      <c r="Y17" s="639"/>
      <c r="Z17" s="639"/>
      <c r="AA17" s="639"/>
      <c r="AB17" s="639"/>
      <c r="AC17" s="639"/>
      <c r="AD17" s="639"/>
      <c r="AE17" s="639"/>
      <c r="AF17" s="639"/>
      <c r="AG17" s="639"/>
      <c r="AH17" s="639"/>
      <c r="AI17" s="639"/>
      <c r="AJ17" s="639"/>
      <c r="AK17" s="639"/>
      <c r="AL17" s="639"/>
      <c r="AM17" s="639"/>
      <c r="AN17" s="639"/>
      <c r="AO17" s="639"/>
      <c r="AP17" s="639"/>
      <c r="AQ17" s="639"/>
      <c r="AR17" s="639"/>
      <c r="AS17" s="639"/>
      <c r="AT17" s="639"/>
      <c r="AU17" s="639"/>
      <c r="AV17" s="639"/>
      <c r="AW17" s="639"/>
      <c r="AX17" s="639"/>
      <c r="AY17" s="639"/>
      <c r="AZ17" s="639"/>
      <c r="BA17" s="640"/>
      <c r="BB17" s="27"/>
      <c r="BC17" s="27"/>
      <c r="BK17" s="570"/>
      <c r="BL17" s="570"/>
      <c r="BM17" s="570"/>
      <c r="BN17" s="570"/>
      <c r="BO17" s="570"/>
      <c r="BP17" s="570"/>
      <c r="BQ17" s="570"/>
      <c r="BR17" s="570"/>
      <c r="BS17" s="570"/>
      <c r="BT17" s="570"/>
      <c r="BU17" s="570"/>
      <c r="BV17" s="570"/>
      <c r="BW17" s="570"/>
      <c r="BX17" s="570"/>
      <c r="BY17" s="570"/>
      <c r="BZ17" s="570"/>
      <c r="CA17" s="570"/>
      <c r="CB17" s="570"/>
      <c r="CC17" s="570"/>
      <c r="CD17" s="570"/>
      <c r="CE17" s="570"/>
      <c r="CF17" s="570"/>
    </row>
    <row r="18" spans="1:84" ht="60.75" customHeight="1" thickBot="1">
      <c r="A18" s="641"/>
      <c r="B18" s="642"/>
      <c r="C18" s="642"/>
      <c r="D18" s="642"/>
      <c r="E18" s="642"/>
      <c r="F18" s="642"/>
      <c r="G18" s="642"/>
      <c r="H18" s="642"/>
      <c r="I18" s="642"/>
      <c r="J18" s="642"/>
      <c r="K18" s="642"/>
      <c r="L18" s="642"/>
      <c r="M18" s="642"/>
      <c r="N18" s="642"/>
      <c r="O18" s="642"/>
      <c r="P18" s="642"/>
      <c r="Q18" s="642"/>
      <c r="R18" s="642"/>
      <c r="S18" s="642"/>
      <c r="T18" s="642"/>
      <c r="U18" s="642"/>
      <c r="V18" s="642"/>
      <c r="W18" s="642"/>
      <c r="X18" s="642"/>
      <c r="Y18" s="642"/>
      <c r="Z18" s="642"/>
      <c r="AA18" s="642"/>
      <c r="AB18" s="642"/>
      <c r="AC18" s="642"/>
      <c r="AD18" s="642"/>
      <c r="AE18" s="642"/>
      <c r="AF18" s="642"/>
      <c r="AG18" s="642"/>
      <c r="AH18" s="642"/>
      <c r="AI18" s="642"/>
      <c r="AJ18" s="642"/>
      <c r="AK18" s="642"/>
      <c r="AL18" s="642"/>
      <c r="AM18" s="642"/>
      <c r="AN18" s="642"/>
      <c r="AO18" s="642"/>
      <c r="AP18" s="642"/>
      <c r="AQ18" s="642"/>
      <c r="AR18" s="642"/>
      <c r="AS18" s="642"/>
      <c r="AT18" s="642"/>
      <c r="AU18" s="642"/>
      <c r="AV18" s="642"/>
      <c r="AW18" s="642"/>
      <c r="AX18" s="642"/>
      <c r="AY18" s="642"/>
      <c r="AZ18" s="642"/>
      <c r="BA18" s="643"/>
      <c r="BK18" s="570"/>
      <c r="BL18" s="570"/>
      <c r="BM18" s="570"/>
      <c r="BN18" s="570"/>
      <c r="BO18" s="570"/>
      <c r="BP18" s="570"/>
      <c r="BQ18" s="570"/>
      <c r="BR18" s="570"/>
      <c r="BS18" s="570"/>
      <c r="BT18" s="570"/>
      <c r="BU18" s="570"/>
      <c r="BV18" s="570"/>
      <c r="BW18" s="570"/>
      <c r="BX18" s="570"/>
      <c r="BY18" s="570"/>
      <c r="BZ18" s="570"/>
      <c r="CA18" s="570"/>
      <c r="CB18" s="570"/>
      <c r="CC18" s="570"/>
      <c r="CD18" s="570"/>
      <c r="CE18" s="570"/>
      <c r="CF18" s="570"/>
    </row>
    <row r="19" spans="1:84" ht="45" customHeight="1" thickTop="1">
      <c r="A19" s="580" t="s">
        <v>23</v>
      </c>
      <c r="B19" s="581"/>
      <c r="C19" s="581"/>
      <c r="D19" s="581"/>
      <c r="E19" s="581"/>
      <c r="F19" s="581"/>
      <c r="G19" s="581"/>
      <c r="H19" s="581"/>
      <c r="I19" s="581"/>
      <c r="J19" s="581"/>
      <c r="K19" s="581"/>
      <c r="L19" s="581"/>
      <c r="M19" s="581"/>
      <c r="N19" s="581"/>
      <c r="O19" s="581"/>
      <c r="P19" s="581"/>
      <c r="Q19" s="581"/>
      <c r="R19" s="581"/>
      <c r="S19" s="581"/>
      <c r="T19" s="581"/>
      <c r="U19" s="581"/>
      <c r="V19" s="581"/>
      <c r="W19" s="581"/>
      <c r="X19" s="581"/>
      <c r="Y19" s="581"/>
      <c r="Z19" s="581"/>
      <c r="AA19" s="581"/>
      <c r="AB19" s="581"/>
      <c r="AC19" s="581"/>
      <c r="AD19" s="581"/>
      <c r="AE19" s="581"/>
      <c r="AF19" s="581"/>
      <c r="AG19" s="581"/>
      <c r="AH19" s="581"/>
      <c r="AI19" s="581"/>
      <c r="AJ19" s="581"/>
      <c r="AK19" s="581"/>
      <c r="AL19" s="581"/>
      <c r="AM19" s="581"/>
      <c r="AN19" s="581"/>
      <c r="AO19" s="581"/>
      <c r="AP19" s="581"/>
      <c r="AQ19" s="581"/>
      <c r="AR19" s="581"/>
      <c r="AS19" s="581"/>
      <c r="AT19" s="581"/>
      <c r="AU19" s="581"/>
      <c r="AV19" s="581"/>
      <c r="AW19" s="581"/>
      <c r="AX19" s="581"/>
      <c r="AY19" s="581"/>
      <c r="AZ19" s="581"/>
      <c r="BA19" s="582"/>
      <c r="BK19" s="570"/>
      <c r="BL19" s="570"/>
      <c r="BM19" s="570"/>
      <c r="BN19" s="570"/>
      <c r="BO19" s="570"/>
      <c r="BP19" s="570"/>
      <c r="BQ19" s="570"/>
      <c r="BR19" s="570"/>
      <c r="BS19" s="570"/>
      <c r="BT19" s="570"/>
      <c r="BU19" s="570"/>
      <c r="BV19" s="570"/>
      <c r="BW19" s="570"/>
      <c r="BX19" s="570"/>
      <c r="BY19" s="570"/>
      <c r="BZ19" s="570"/>
      <c r="CA19" s="570"/>
      <c r="CB19" s="570"/>
      <c r="CC19" s="570"/>
      <c r="CD19" s="570"/>
      <c r="CE19" s="570"/>
      <c r="CF19" s="570"/>
    </row>
    <row r="20" spans="1:84" ht="45" customHeight="1">
      <c r="A20" s="644" t="s">
        <v>972</v>
      </c>
      <c r="B20" s="645"/>
      <c r="C20" s="645"/>
      <c r="D20" s="645"/>
      <c r="E20" s="645"/>
      <c r="F20" s="645"/>
      <c r="G20" s="645"/>
      <c r="H20" s="645"/>
      <c r="I20" s="645"/>
      <c r="J20" s="645"/>
      <c r="K20" s="645"/>
      <c r="L20" s="645"/>
      <c r="M20" s="645"/>
      <c r="N20" s="645"/>
      <c r="O20" s="645"/>
      <c r="P20" s="645"/>
      <c r="Q20" s="645"/>
      <c r="R20" s="645"/>
      <c r="S20" s="645"/>
      <c r="T20" s="645"/>
      <c r="U20" s="645"/>
      <c r="V20" s="645"/>
      <c r="W20" s="645"/>
      <c r="X20" s="645"/>
      <c r="Y20" s="645"/>
      <c r="Z20" s="645"/>
      <c r="AA20" s="645"/>
      <c r="AB20" s="645"/>
      <c r="AC20" s="645"/>
      <c r="AD20" s="645"/>
      <c r="AE20" s="645"/>
      <c r="AF20" s="645"/>
      <c r="AG20" s="645"/>
      <c r="AH20" s="645"/>
      <c r="AI20" s="645"/>
      <c r="AJ20" s="645"/>
      <c r="AK20" s="645"/>
      <c r="AL20" s="645"/>
      <c r="AM20" s="645"/>
      <c r="AN20" s="645"/>
      <c r="AO20" s="645"/>
      <c r="AP20" s="645"/>
      <c r="AQ20" s="645"/>
      <c r="AR20" s="645"/>
      <c r="AS20" s="645"/>
      <c r="AT20" s="645"/>
      <c r="AU20" s="645"/>
      <c r="AV20" s="645"/>
      <c r="AW20" s="645"/>
      <c r="AX20" s="645"/>
      <c r="AY20" s="645"/>
      <c r="AZ20" s="645"/>
      <c r="BA20" s="646"/>
      <c r="BK20" s="570"/>
      <c r="BL20" s="570"/>
      <c r="BM20" s="570"/>
      <c r="BN20" s="570"/>
      <c r="BO20" s="570"/>
      <c r="BP20" s="570"/>
      <c r="BQ20" s="570"/>
      <c r="BR20" s="570"/>
      <c r="BS20" s="570"/>
      <c r="BT20" s="570"/>
      <c r="BU20" s="570"/>
      <c r="BV20" s="570"/>
      <c r="BW20" s="570"/>
      <c r="BX20" s="570"/>
      <c r="BY20" s="570"/>
      <c r="BZ20" s="570"/>
      <c r="CA20" s="570"/>
      <c r="CB20" s="570"/>
      <c r="CC20" s="570"/>
      <c r="CD20" s="570"/>
      <c r="CE20" s="570"/>
      <c r="CF20" s="570"/>
    </row>
    <row r="21" spans="1:84" ht="45" customHeight="1" thickBot="1">
      <c r="A21" s="647"/>
      <c r="B21" s="648"/>
      <c r="C21" s="648"/>
      <c r="D21" s="648"/>
      <c r="E21" s="648"/>
      <c r="F21" s="648"/>
      <c r="G21" s="648"/>
      <c r="H21" s="648"/>
      <c r="I21" s="648"/>
      <c r="J21" s="648"/>
      <c r="K21" s="648"/>
      <c r="L21" s="648"/>
      <c r="M21" s="648"/>
      <c r="N21" s="648"/>
      <c r="O21" s="648"/>
      <c r="P21" s="648"/>
      <c r="Q21" s="648"/>
      <c r="R21" s="648"/>
      <c r="S21" s="648"/>
      <c r="T21" s="648"/>
      <c r="U21" s="648"/>
      <c r="V21" s="648"/>
      <c r="W21" s="648"/>
      <c r="X21" s="648"/>
      <c r="Y21" s="648"/>
      <c r="Z21" s="648"/>
      <c r="AA21" s="648"/>
      <c r="AB21" s="648"/>
      <c r="AC21" s="648"/>
      <c r="AD21" s="648"/>
      <c r="AE21" s="648"/>
      <c r="AF21" s="648"/>
      <c r="AG21" s="648"/>
      <c r="AH21" s="648"/>
      <c r="AI21" s="648"/>
      <c r="AJ21" s="648"/>
      <c r="AK21" s="648"/>
      <c r="AL21" s="648"/>
      <c r="AM21" s="648"/>
      <c r="AN21" s="648"/>
      <c r="AO21" s="648"/>
      <c r="AP21" s="648"/>
      <c r="AQ21" s="648"/>
      <c r="AR21" s="648"/>
      <c r="AS21" s="648"/>
      <c r="AT21" s="648"/>
      <c r="AU21" s="648"/>
      <c r="AV21" s="648"/>
      <c r="AW21" s="648"/>
      <c r="AX21" s="648"/>
      <c r="AY21" s="648"/>
      <c r="AZ21" s="648"/>
      <c r="BA21" s="649"/>
      <c r="BK21" s="570"/>
      <c r="BL21" s="570"/>
      <c r="BM21" s="570"/>
      <c r="BN21" s="570"/>
      <c r="BO21" s="570"/>
      <c r="BP21" s="570"/>
      <c r="BQ21" s="570"/>
      <c r="BR21" s="570"/>
      <c r="BS21" s="570"/>
      <c r="BT21" s="570"/>
      <c r="BU21" s="570"/>
      <c r="BV21" s="570"/>
      <c r="BW21" s="570"/>
      <c r="BX21" s="570"/>
      <c r="BY21" s="570"/>
      <c r="BZ21" s="570"/>
      <c r="CA21" s="570"/>
      <c r="CB21" s="570"/>
      <c r="CC21" s="570"/>
      <c r="CD21" s="570"/>
      <c r="CE21" s="570"/>
      <c r="CF21" s="570"/>
    </row>
    <row r="22" spans="1:84" ht="31.5">
      <c r="A22" s="650" t="s">
        <v>20</v>
      </c>
      <c r="B22" s="531"/>
      <c r="C22" s="531" t="s">
        <v>19</v>
      </c>
      <c r="D22" s="531"/>
      <c r="E22" s="531" t="s">
        <v>505</v>
      </c>
      <c r="F22" s="531"/>
      <c r="G22" s="637" t="s">
        <v>123</v>
      </c>
      <c r="H22" s="637"/>
      <c r="I22" s="531" t="s">
        <v>0</v>
      </c>
      <c r="J22" s="531"/>
      <c r="K22" s="637" t="s">
        <v>642</v>
      </c>
      <c r="L22" s="637"/>
      <c r="M22" s="531" t="s">
        <v>643</v>
      </c>
      <c r="N22" s="531"/>
      <c r="O22" s="531"/>
      <c r="P22" s="637" t="s">
        <v>757</v>
      </c>
      <c r="Q22" s="637"/>
      <c r="R22" s="637"/>
      <c r="S22" s="531" t="s">
        <v>488</v>
      </c>
      <c r="T22" s="531"/>
      <c r="U22" s="531"/>
      <c r="V22" s="531"/>
      <c r="W22" s="531"/>
      <c r="X22" s="531"/>
      <c r="Y22" s="531"/>
      <c r="Z22" s="531"/>
      <c r="AA22" s="531"/>
      <c r="AB22" s="531"/>
      <c r="AC22" s="531"/>
      <c r="AD22" s="531"/>
      <c r="AE22" s="531"/>
      <c r="AF22" s="531"/>
      <c r="AG22" s="531"/>
      <c r="AH22" s="531"/>
      <c r="AI22" s="531"/>
      <c r="AJ22" s="531"/>
      <c r="AK22" s="531"/>
      <c r="AL22" s="531"/>
      <c r="AM22" s="531"/>
      <c r="AN22" s="571" t="s">
        <v>661</v>
      </c>
      <c r="AO22" s="572"/>
      <c r="AP22" s="572"/>
      <c r="AQ22" s="573"/>
      <c r="AR22" s="574" t="s">
        <v>726</v>
      </c>
      <c r="AS22" s="575"/>
      <c r="AT22" s="576"/>
      <c r="AU22" s="622" t="s">
        <v>22</v>
      </c>
      <c r="AV22" s="622"/>
      <c r="AW22" s="622"/>
      <c r="AX22" s="622"/>
      <c r="AY22" s="622"/>
      <c r="AZ22" s="622"/>
      <c r="BA22" s="623"/>
      <c r="BK22" s="570"/>
      <c r="BL22" s="570"/>
      <c r="BM22" s="570"/>
      <c r="BN22" s="570"/>
      <c r="BO22" s="570"/>
      <c r="BP22" s="570"/>
      <c r="BQ22" s="570"/>
      <c r="BR22" s="570"/>
      <c r="BS22" s="570"/>
      <c r="BT22" s="570"/>
      <c r="BU22" s="570"/>
      <c r="BV22" s="570"/>
      <c r="BW22" s="570"/>
      <c r="BX22" s="570"/>
      <c r="BY22" s="570"/>
      <c r="BZ22" s="570"/>
      <c r="CA22" s="570"/>
      <c r="CB22" s="570"/>
      <c r="CC22" s="570"/>
      <c r="CD22" s="570"/>
      <c r="CE22" s="570"/>
      <c r="CF22" s="570"/>
    </row>
    <row r="23" spans="1:84" ht="105.75" customHeight="1">
      <c r="A23" s="651"/>
      <c r="B23" s="532"/>
      <c r="C23" s="532"/>
      <c r="D23" s="532"/>
      <c r="E23" s="532"/>
      <c r="F23" s="532"/>
      <c r="G23" s="522"/>
      <c r="H23" s="522"/>
      <c r="I23" s="532"/>
      <c r="J23" s="532"/>
      <c r="K23" s="522"/>
      <c r="L23" s="522"/>
      <c r="M23" s="532"/>
      <c r="N23" s="532"/>
      <c r="O23" s="532"/>
      <c r="P23" s="522"/>
      <c r="Q23" s="522"/>
      <c r="R23" s="522"/>
      <c r="S23" s="532"/>
      <c r="T23" s="532"/>
      <c r="U23" s="532"/>
      <c r="V23" s="532"/>
      <c r="W23" s="532"/>
      <c r="X23" s="532"/>
      <c r="Y23" s="532"/>
      <c r="Z23" s="532"/>
      <c r="AA23" s="532"/>
      <c r="AB23" s="532"/>
      <c r="AC23" s="532"/>
      <c r="AD23" s="532"/>
      <c r="AE23" s="532"/>
      <c r="AF23" s="532"/>
      <c r="AG23" s="532"/>
      <c r="AH23" s="532"/>
      <c r="AI23" s="532"/>
      <c r="AJ23" s="532"/>
      <c r="AK23" s="532"/>
      <c r="AL23" s="532"/>
      <c r="AM23" s="532"/>
      <c r="AN23" s="532" t="s">
        <v>551</v>
      </c>
      <c r="AO23" s="532"/>
      <c r="AP23" s="46" t="s">
        <v>659</v>
      </c>
      <c r="AQ23" s="46" t="s">
        <v>660</v>
      </c>
      <c r="AR23" s="577"/>
      <c r="AS23" s="578"/>
      <c r="AT23" s="579"/>
      <c r="AU23" s="53" t="s">
        <v>504</v>
      </c>
      <c r="AV23" s="583"/>
      <c r="AW23" s="583"/>
      <c r="AX23" s="583"/>
      <c r="AY23" s="583"/>
      <c r="AZ23" s="583"/>
      <c r="BA23" s="54" t="s">
        <v>505</v>
      </c>
      <c r="BK23" s="570"/>
      <c r="BL23" s="570"/>
      <c r="BM23" s="570"/>
      <c r="BN23" s="570"/>
      <c r="BO23" s="570"/>
      <c r="BP23" s="570"/>
      <c r="BQ23" s="570"/>
      <c r="BR23" s="570"/>
      <c r="BS23" s="570"/>
      <c r="BT23" s="570"/>
      <c r="BU23" s="570"/>
      <c r="BV23" s="570"/>
      <c r="BW23" s="570"/>
      <c r="BX23" s="570"/>
      <c r="BY23" s="570"/>
      <c r="BZ23" s="570"/>
      <c r="CA23" s="570"/>
      <c r="CB23" s="570"/>
      <c r="CC23" s="570"/>
      <c r="CD23" s="570"/>
      <c r="CE23" s="570"/>
      <c r="CF23" s="570"/>
    </row>
    <row r="24" spans="1:84" ht="60" customHeight="1">
      <c r="A24" s="479">
        <v>0</v>
      </c>
      <c r="B24" s="480"/>
      <c r="C24" s="632">
        <v>0.25</v>
      </c>
      <c r="D24" s="633"/>
      <c r="E24" s="494">
        <f>IF((MOD(C24,1)-MOD(A24,1))*86400/3600&gt;0,(MOD(C24,1)-MOD(A24,1))*86400/3600, IF((MOD(C24,1)-MOD(A24,1))*86400/3600&lt;0,(MOD(C24,1)-MOD(A24,1))*86400/3600+24,""))</f>
        <v>6</v>
      </c>
      <c r="F24" s="494"/>
      <c r="G24" s="426" t="s">
        <v>127</v>
      </c>
      <c r="H24" s="427"/>
      <c r="I24" s="420">
        <v>2</v>
      </c>
      <c r="J24" s="420"/>
      <c r="K24" s="420">
        <v>1</v>
      </c>
      <c r="L24" s="420"/>
      <c r="M24" s="421" t="s">
        <v>707</v>
      </c>
      <c r="N24" s="421"/>
      <c r="O24" s="421"/>
      <c r="P24" s="421"/>
      <c r="Q24" s="421"/>
      <c r="R24" s="421"/>
      <c r="S24" s="498" t="s">
        <v>967</v>
      </c>
      <c r="T24" s="499"/>
      <c r="U24" s="499"/>
      <c r="V24" s="499"/>
      <c r="W24" s="499"/>
      <c r="X24" s="499"/>
      <c r="Y24" s="499"/>
      <c r="Z24" s="499"/>
      <c r="AA24" s="499"/>
      <c r="AB24" s="499"/>
      <c r="AC24" s="499"/>
      <c r="AD24" s="499"/>
      <c r="AE24" s="499"/>
      <c r="AF24" s="499"/>
      <c r="AG24" s="499"/>
      <c r="AH24" s="499"/>
      <c r="AI24" s="499"/>
      <c r="AJ24" s="499"/>
      <c r="AK24" s="499"/>
      <c r="AL24" s="499"/>
      <c r="AM24" s="500"/>
      <c r="AN24" s="501"/>
      <c r="AO24" s="501"/>
      <c r="AP24" s="142"/>
      <c r="AQ24" s="142"/>
      <c r="AR24" s="501"/>
      <c r="AS24" s="501"/>
      <c r="AT24" s="501"/>
      <c r="AU24" s="67">
        <v>1</v>
      </c>
      <c r="AV24" s="654" t="s">
        <v>436</v>
      </c>
      <c r="AW24" s="654"/>
      <c r="AX24" s="654"/>
      <c r="AY24" s="654"/>
      <c r="AZ24" s="654"/>
      <c r="BA24" s="68" t="str">
        <f t="shared" ref="BA24:BA52" si="0">IF(SUMIF($I$24:$J$61,AU24,$E$24:$F$61)=0,"",SUMIF($I$24:$J$61,AU24,$E$24:$F$61))</f>
        <v/>
      </c>
      <c r="BK24" s="570"/>
      <c r="BL24" s="570"/>
      <c r="BM24" s="570"/>
      <c r="BN24" s="570"/>
      <c r="BO24" s="570"/>
      <c r="BP24" s="570"/>
      <c r="BQ24" s="570"/>
      <c r="BR24" s="570"/>
      <c r="BS24" s="570"/>
      <c r="BT24" s="570"/>
      <c r="BU24" s="570"/>
      <c r="BV24" s="570"/>
      <c r="BW24" s="570"/>
      <c r="BX24" s="570"/>
      <c r="BY24" s="570"/>
      <c r="BZ24" s="570"/>
      <c r="CA24" s="570"/>
      <c r="CB24" s="570"/>
      <c r="CC24" s="570"/>
      <c r="CD24" s="570"/>
      <c r="CE24" s="570"/>
      <c r="CF24" s="570"/>
    </row>
    <row r="25" spans="1:84" ht="59.25" customHeight="1">
      <c r="A25" s="479"/>
      <c r="B25" s="480"/>
      <c r="C25" s="508"/>
      <c r="D25" s="480"/>
      <c r="E25" s="494" t="str">
        <f t="shared" ref="E25:E61" si="1">IF((MOD(C25,1)-MOD(A25,1))*86400/3600&gt;0,(MOD(C25,1)-MOD(A25,1))*86400/3600, IF((MOD(C25,1)-MOD(A25,1))*86400/3600&lt;0,(MOD(C25,1)-MOD(A25,1))*86400/3600+24,""))</f>
        <v/>
      </c>
      <c r="F25" s="494"/>
      <c r="G25" s="426"/>
      <c r="H25" s="427"/>
      <c r="I25" s="426"/>
      <c r="J25" s="427"/>
      <c r="K25" s="426"/>
      <c r="L25" s="427"/>
      <c r="M25" s="421"/>
      <c r="N25" s="421"/>
      <c r="O25" s="421"/>
      <c r="P25" s="421"/>
      <c r="Q25" s="421"/>
      <c r="R25" s="421"/>
      <c r="S25" s="498" t="s">
        <v>964</v>
      </c>
      <c r="T25" s="499"/>
      <c r="U25" s="499"/>
      <c r="V25" s="499"/>
      <c r="W25" s="499"/>
      <c r="X25" s="499"/>
      <c r="Y25" s="499"/>
      <c r="Z25" s="499"/>
      <c r="AA25" s="499"/>
      <c r="AB25" s="499"/>
      <c r="AC25" s="499"/>
      <c r="AD25" s="499"/>
      <c r="AE25" s="499"/>
      <c r="AF25" s="499"/>
      <c r="AG25" s="499"/>
      <c r="AH25" s="499"/>
      <c r="AI25" s="499"/>
      <c r="AJ25" s="499"/>
      <c r="AK25" s="499"/>
      <c r="AL25" s="499"/>
      <c r="AM25" s="500"/>
      <c r="AN25" s="501"/>
      <c r="AO25" s="501"/>
      <c r="AP25" s="140"/>
      <c r="AQ25" s="140"/>
      <c r="AR25" s="501"/>
      <c r="AS25" s="501"/>
      <c r="AT25" s="501"/>
      <c r="AU25" s="67">
        <f>AU24+1</f>
        <v>2</v>
      </c>
      <c r="AV25" s="503" t="s">
        <v>60</v>
      </c>
      <c r="AW25" s="503"/>
      <c r="AX25" s="503"/>
      <c r="AY25" s="503"/>
      <c r="AZ25" s="503"/>
      <c r="BA25" s="68">
        <f t="shared" si="0"/>
        <v>15</v>
      </c>
      <c r="BF25" s="599"/>
      <c r="BG25" s="599"/>
      <c r="BH25" s="599"/>
      <c r="BI25" s="599"/>
      <c r="BJ25" s="599"/>
      <c r="BK25" s="570"/>
      <c r="BL25" s="570"/>
      <c r="BM25" s="570"/>
      <c r="BN25" s="570"/>
      <c r="BO25" s="570"/>
      <c r="BP25" s="570"/>
      <c r="BQ25" s="570"/>
      <c r="BR25" s="570"/>
      <c r="BS25" s="570"/>
      <c r="BT25" s="570"/>
      <c r="BU25" s="570"/>
      <c r="BV25" s="570"/>
      <c r="BW25" s="570"/>
      <c r="BX25" s="570"/>
      <c r="BY25" s="570"/>
      <c r="BZ25" s="570"/>
      <c r="CA25" s="570"/>
      <c r="CB25" s="570"/>
      <c r="CC25" s="570"/>
      <c r="CD25" s="570"/>
      <c r="CE25" s="570"/>
      <c r="CF25" s="570"/>
    </row>
    <row r="26" spans="1:84" ht="60" customHeight="1">
      <c r="A26" s="479">
        <v>0.25</v>
      </c>
      <c r="B26" s="480"/>
      <c r="C26" s="508">
        <v>0.33333333333333331</v>
      </c>
      <c r="D26" s="480"/>
      <c r="E26" s="494">
        <f t="shared" si="1"/>
        <v>1.9999999999999996</v>
      </c>
      <c r="F26" s="494"/>
      <c r="G26" s="426" t="s">
        <v>127</v>
      </c>
      <c r="H26" s="427"/>
      <c r="I26" s="420">
        <v>6</v>
      </c>
      <c r="J26" s="420"/>
      <c r="K26" s="420">
        <v>6</v>
      </c>
      <c r="L26" s="420"/>
      <c r="M26" s="421" t="s">
        <v>707</v>
      </c>
      <c r="N26" s="421"/>
      <c r="O26" s="421"/>
      <c r="P26" s="528"/>
      <c r="Q26" s="529"/>
      <c r="R26" s="530"/>
      <c r="S26" s="634" t="s">
        <v>1000</v>
      </c>
      <c r="T26" s="634"/>
      <c r="U26" s="634"/>
      <c r="V26" s="634"/>
      <c r="W26" s="634"/>
      <c r="X26" s="634"/>
      <c r="Y26" s="634"/>
      <c r="Z26" s="634"/>
      <c r="AA26" s="634"/>
      <c r="AB26" s="634"/>
      <c r="AC26" s="634"/>
      <c r="AD26" s="634"/>
      <c r="AE26" s="634"/>
      <c r="AF26" s="634"/>
      <c r="AG26" s="634"/>
      <c r="AH26" s="634"/>
      <c r="AI26" s="634"/>
      <c r="AJ26" s="634"/>
      <c r="AK26" s="634"/>
      <c r="AL26" s="634"/>
      <c r="AM26" s="634"/>
      <c r="AN26" s="501"/>
      <c r="AO26" s="501"/>
      <c r="AP26" s="140"/>
      <c r="AQ26" s="140"/>
      <c r="AR26" s="501"/>
      <c r="AS26" s="501"/>
      <c r="AT26" s="501"/>
      <c r="AU26" s="67">
        <f t="shared" ref="AU26:AU52" si="2">AU25+1</f>
        <v>3</v>
      </c>
      <c r="AV26" s="503" t="s">
        <v>62</v>
      </c>
      <c r="AW26" s="503"/>
      <c r="AX26" s="503"/>
      <c r="AY26" s="503"/>
      <c r="AZ26" s="503"/>
      <c r="BA26" s="68">
        <f t="shared" si="0"/>
        <v>0.99999999999999822</v>
      </c>
      <c r="BF26" s="599"/>
      <c r="BG26" s="599"/>
      <c r="BH26" s="599"/>
      <c r="BI26" s="599"/>
      <c r="BJ26" s="599"/>
      <c r="BK26" s="570"/>
      <c r="BL26" s="570"/>
      <c r="BM26" s="570"/>
      <c r="BN26" s="570"/>
      <c r="BO26" s="570"/>
      <c r="BP26" s="570"/>
      <c r="BQ26" s="570"/>
      <c r="BR26" s="570"/>
      <c r="BS26" s="570"/>
      <c r="BT26" s="570"/>
      <c r="BU26" s="570"/>
      <c r="BV26" s="570"/>
      <c r="BW26" s="570"/>
      <c r="BX26" s="570"/>
      <c r="BY26" s="570"/>
      <c r="BZ26" s="570"/>
      <c r="CA26" s="570"/>
      <c r="CB26" s="570"/>
      <c r="CC26" s="570"/>
      <c r="CD26" s="570"/>
      <c r="CE26" s="570"/>
      <c r="CF26" s="570"/>
    </row>
    <row r="27" spans="1:84" ht="59.25" customHeight="1">
      <c r="A27" s="479">
        <v>0.33333333333333331</v>
      </c>
      <c r="B27" s="480"/>
      <c r="C27" s="508">
        <v>0.58333333333333337</v>
      </c>
      <c r="D27" s="480"/>
      <c r="E27" s="494">
        <f t="shared" si="1"/>
        <v>6.0000000000000009</v>
      </c>
      <c r="F27" s="494"/>
      <c r="G27" s="426" t="s">
        <v>127</v>
      </c>
      <c r="H27" s="427"/>
      <c r="I27" s="420">
        <v>6</v>
      </c>
      <c r="J27" s="420"/>
      <c r="K27" s="420">
        <v>2</v>
      </c>
      <c r="L27" s="420"/>
      <c r="M27" s="421" t="s">
        <v>707</v>
      </c>
      <c r="N27" s="421"/>
      <c r="O27" s="421"/>
      <c r="P27" s="528"/>
      <c r="Q27" s="529"/>
      <c r="R27" s="530"/>
      <c r="S27" s="634" t="s">
        <v>968</v>
      </c>
      <c r="T27" s="634"/>
      <c r="U27" s="634"/>
      <c r="V27" s="634"/>
      <c r="W27" s="634"/>
      <c r="X27" s="634"/>
      <c r="Y27" s="634"/>
      <c r="Z27" s="634"/>
      <c r="AA27" s="634"/>
      <c r="AB27" s="634"/>
      <c r="AC27" s="634"/>
      <c r="AD27" s="634"/>
      <c r="AE27" s="634"/>
      <c r="AF27" s="634"/>
      <c r="AG27" s="634"/>
      <c r="AH27" s="634"/>
      <c r="AI27" s="634"/>
      <c r="AJ27" s="634"/>
      <c r="AK27" s="634"/>
      <c r="AL27" s="634"/>
      <c r="AM27" s="634"/>
      <c r="AN27" s="414"/>
      <c r="AO27" s="414"/>
      <c r="AP27" s="139"/>
      <c r="AQ27" s="140"/>
      <c r="AR27" s="501"/>
      <c r="AS27" s="501"/>
      <c r="AT27" s="501"/>
      <c r="AU27" s="67">
        <f t="shared" si="2"/>
        <v>4</v>
      </c>
      <c r="AV27" s="503" t="s">
        <v>21</v>
      </c>
      <c r="AW27" s="503"/>
      <c r="AX27" s="503"/>
      <c r="AY27" s="503"/>
      <c r="AZ27" s="503"/>
      <c r="BA27" s="68" t="str">
        <f t="shared" si="0"/>
        <v/>
      </c>
      <c r="BF27" s="599"/>
      <c r="BG27" s="599"/>
      <c r="BH27" s="599"/>
      <c r="BI27" s="599"/>
      <c r="BJ27" s="599"/>
      <c r="BK27" s="570"/>
      <c r="BL27" s="570"/>
      <c r="BM27" s="570"/>
      <c r="BN27" s="570"/>
      <c r="BO27" s="570"/>
      <c r="BP27" s="570"/>
      <c r="BQ27" s="570"/>
      <c r="BR27" s="570"/>
      <c r="BS27" s="570"/>
      <c r="BT27" s="570"/>
      <c r="BU27" s="570"/>
      <c r="BV27" s="570"/>
      <c r="BW27" s="570"/>
      <c r="BX27" s="570"/>
      <c r="BY27" s="570"/>
      <c r="BZ27" s="570"/>
      <c r="CA27" s="570"/>
      <c r="CB27" s="570"/>
      <c r="CC27" s="570"/>
      <c r="CD27" s="570"/>
      <c r="CE27" s="570"/>
      <c r="CF27" s="570"/>
    </row>
    <row r="28" spans="1:84" ht="60" customHeight="1">
      <c r="A28" s="479"/>
      <c r="B28" s="480"/>
      <c r="C28" s="508"/>
      <c r="D28" s="480"/>
      <c r="E28" s="494" t="str">
        <f t="shared" si="1"/>
        <v/>
      </c>
      <c r="F28" s="494"/>
      <c r="G28" s="426"/>
      <c r="H28" s="427"/>
      <c r="I28" s="420"/>
      <c r="J28" s="420"/>
      <c r="K28" s="420"/>
      <c r="L28" s="420"/>
      <c r="M28" s="421"/>
      <c r="N28" s="421"/>
      <c r="O28" s="421"/>
      <c r="P28" s="528"/>
      <c r="Q28" s="529"/>
      <c r="R28" s="530"/>
      <c r="S28" s="634" t="s">
        <v>969</v>
      </c>
      <c r="T28" s="634"/>
      <c r="U28" s="634"/>
      <c r="V28" s="634"/>
      <c r="W28" s="634"/>
      <c r="X28" s="634"/>
      <c r="Y28" s="634"/>
      <c r="Z28" s="634"/>
      <c r="AA28" s="634"/>
      <c r="AB28" s="634"/>
      <c r="AC28" s="634"/>
      <c r="AD28" s="634"/>
      <c r="AE28" s="634"/>
      <c r="AF28" s="634"/>
      <c r="AG28" s="634"/>
      <c r="AH28" s="634"/>
      <c r="AI28" s="634"/>
      <c r="AJ28" s="634"/>
      <c r="AK28" s="634"/>
      <c r="AL28" s="634"/>
      <c r="AM28" s="634"/>
      <c r="AN28" s="501"/>
      <c r="AO28" s="501"/>
      <c r="AP28" s="125"/>
      <c r="AQ28" s="141"/>
      <c r="AR28" s="501"/>
      <c r="AS28" s="501"/>
      <c r="AT28" s="501"/>
      <c r="AU28" s="67">
        <f t="shared" si="2"/>
        <v>5</v>
      </c>
      <c r="AV28" s="629" t="s">
        <v>189</v>
      </c>
      <c r="AW28" s="629"/>
      <c r="AX28" s="629"/>
      <c r="AY28" s="629"/>
      <c r="AZ28" s="629"/>
      <c r="BA28" s="68" t="str">
        <f t="shared" si="0"/>
        <v/>
      </c>
      <c r="BF28" s="599"/>
      <c r="BG28" s="599"/>
      <c r="BH28" s="599"/>
      <c r="BI28" s="599"/>
      <c r="BJ28" s="599"/>
      <c r="BK28" s="570"/>
      <c r="BL28" s="570"/>
      <c r="BM28" s="570"/>
      <c r="BN28" s="570"/>
      <c r="BO28" s="570"/>
      <c r="BP28" s="570"/>
      <c r="BQ28" s="570"/>
      <c r="BR28" s="570"/>
      <c r="BS28" s="570"/>
      <c r="BT28" s="570"/>
      <c r="BU28" s="570"/>
      <c r="BV28" s="570"/>
      <c r="BW28" s="570"/>
      <c r="BX28" s="570"/>
      <c r="BY28" s="570"/>
      <c r="BZ28" s="570"/>
      <c r="CA28" s="570"/>
      <c r="CB28" s="570"/>
      <c r="CC28" s="570"/>
      <c r="CD28" s="570"/>
      <c r="CE28" s="570"/>
      <c r="CF28" s="570"/>
    </row>
    <row r="29" spans="1:84" ht="57.75" customHeight="1">
      <c r="A29" s="504">
        <v>0.58333333333333337</v>
      </c>
      <c r="B29" s="504"/>
      <c r="C29" s="504">
        <v>0.89583333333333337</v>
      </c>
      <c r="D29" s="504"/>
      <c r="E29" s="494">
        <f t="shared" si="1"/>
        <v>7.5</v>
      </c>
      <c r="F29" s="494"/>
      <c r="G29" s="420" t="s">
        <v>127</v>
      </c>
      <c r="H29" s="420"/>
      <c r="I29" s="420">
        <v>2</v>
      </c>
      <c r="J29" s="420"/>
      <c r="K29" s="420">
        <v>1</v>
      </c>
      <c r="L29" s="420"/>
      <c r="M29" s="421" t="s">
        <v>707</v>
      </c>
      <c r="N29" s="421"/>
      <c r="O29" s="421"/>
      <c r="P29" s="528"/>
      <c r="Q29" s="529"/>
      <c r="R29" s="530"/>
      <c r="S29" s="498" t="s">
        <v>988</v>
      </c>
      <c r="T29" s="499"/>
      <c r="U29" s="499"/>
      <c r="V29" s="499"/>
      <c r="W29" s="499"/>
      <c r="X29" s="499"/>
      <c r="Y29" s="499"/>
      <c r="Z29" s="499"/>
      <c r="AA29" s="499"/>
      <c r="AB29" s="499"/>
      <c r="AC29" s="499"/>
      <c r="AD29" s="499"/>
      <c r="AE29" s="499"/>
      <c r="AF29" s="499"/>
      <c r="AG29" s="499"/>
      <c r="AH29" s="499"/>
      <c r="AI29" s="499"/>
      <c r="AJ29" s="499"/>
      <c r="AK29" s="499"/>
      <c r="AL29" s="499"/>
      <c r="AM29" s="500"/>
      <c r="AN29" s="414"/>
      <c r="AO29" s="414"/>
      <c r="AP29" s="124"/>
      <c r="AQ29" s="141"/>
      <c r="AR29" s="501"/>
      <c r="AS29" s="501"/>
      <c r="AT29" s="501"/>
      <c r="AU29" s="67">
        <f t="shared" si="2"/>
        <v>6</v>
      </c>
      <c r="AV29" s="503" t="s">
        <v>2</v>
      </c>
      <c r="AW29" s="503"/>
      <c r="AX29" s="503"/>
      <c r="AY29" s="503"/>
      <c r="AZ29" s="503"/>
      <c r="BA29" s="68">
        <f t="shared" si="0"/>
        <v>8</v>
      </c>
      <c r="BF29" s="599"/>
      <c r="BG29" s="599"/>
      <c r="BH29" s="599"/>
      <c r="BI29" s="599"/>
      <c r="BJ29" s="599"/>
      <c r="BK29" s="570"/>
      <c r="BL29" s="570"/>
      <c r="BM29" s="570"/>
      <c r="BN29" s="570"/>
      <c r="BO29" s="570"/>
      <c r="BP29" s="570"/>
      <c r="BQ29" s="570"/>
      <c r="BR29" s="570"/>
      <c r="BS29" s="570"/>
      <c r="BT29" s="570"/>
      <c r="BU29" s="570"/>
      <c r="BV29" s="570"/>
      <c r="BW29" s="570"/>
      <c r="BX29" s="570"/>
      <c r="BY29" s="570"/>
      <c r="BZ29" s="570"/>
      <c r="CA29" s="570"/>
      <c r="CB29" s="570"/>
      <c r="CC29" s="570"/>
      <c r="CD29" s="570"/>
      <c r="CE29" s="570"/>
      <c r="CF29" s="570"/>
    </row>
    <row r="30" spans="1:84" ht="60" customHeight="1">
      <c r="A30" s="504">
        <v>0.89583333333333337</v>
      </c>
      <c r="B30" s="504"/>
      <c r="C30" s="504">
        <v>0.91666666666666663</v>
      </c>
      <c r="D30" s="504"/>
      <c r="E30" s="494">
        <f t="shared" si="1"/>
        <v>0.49999999999999822</v>
      </c>
      <c r="F30" s="494"/>
      <c r="G30" s="420" t="s">
        <v>127</v>
      </c>
      <c r="H30" s="420"/>
      <c r="I30" s="420">
        <v>3</v>
      </c>
      <c r="J30" s="420"/>
      <c r="K30" s="420">
        <v>1</v>
      </c>
      <c r="L30" s="420"/>
      <c r="M30" s="421" t="s">
        <v>707</v>
      </c>
      <c r="N30" s="421"/>
      <c r="O30" s="421"/>
      <c r="P30" s="528"/>
      <c r="Q30" s="529"/>
      <c r="R30" s="530"/>
      <c r="S30" s="498" t="s">
        <v>970</v>
      </c>
      <c r="T30" s="499"/>
      <c r="U30" s="499"/>
      <c r="V30" s="499"/>
      <c r="W30" s="499"/>
      <c r="X30" s="499"/>
      <c r="Y30" s="499"/>
      <c r="Z30" s="499"/>
      <c r="AA30" s="499"/>
      <c r="AB30" s="499"/>
      <c r="AC30" s="499"/>
      <c r="AD30" s="499"/>
      <c r="AE30" s="499"/>
      <c r="AF30" s="499"/>
      <c r="AG30" s="499"/>
      <c r="AH30" s="499"/>
      <c r="AI30" s="499"/>
      <c r="AJ30" s="499"/>
      <c r="AK30" s="499"/>
      <c r="AL30" s="499"/>
      <c r="AM30" s="500"/>
      <c r="AN30" s="501"/>
      <c r="AO30" s="501"/>
      <c r="AP30" s="127"/>
      <c r="AQ30" s="141"/>
      <c r="AR30" s="501"/>
      <c r="AS30" s="501"/>
      <c r="AT30" s="501"/>
      <c r="AU30" s="67">
        <f t="shared" si="2"/>
        <v>7</v>
      </c>
      <c r="AV30" s="509" t="s">
        <v>214</v>
      </c>
      <c r="AW30" s="509"/>
      <c r="AX30" s="509"/>
      <c r="AY30" s="509"/>
      <c r="AZ30" s="509"/>
      <c r="BA30" s="68" t="str">
        <f t="shared" si="0"/>
        <v/>
      </c>
      <c r="BF30" s="599"/>
      <c r="BG30" s="599"/>
      <c r="BH30" s="599"/>
      <c r="BI30" s="599"/>
      <c r="BJ30" s="599"/>
      <c r="BK30" s="570"/>
      <c r="BL30" s="570"/>
      <c r="BM30" s="570"/>
      <c r="BN30" s="570"/>
      <c r="BO30" s="570"/>
      <c r="BP30" s="570"/>
      <c r="BQ30" s="570"/>
      <c r="BR30" s="570"/>
      <c r="BS30" s="570"/>
      <c r="BT30" s="570"/>
      <c r="BU30" s="570"/>
      <c r="BV30" s="570"/>
      <c r="BW30" s="570"/>
      <c r="BX30" s="570"/>
      <c r="BY30" s="570"/>
      <c r="BZ30" s="570"/>
      <c r="CA30" s="570"/>
      <c r="CB30" s="570"/>
      <c r="CC30" s="570"/>
      <c r="CD30" s="570"/>
      <c r="CE30" s="570"/>
      <c r="CF30" s="570"/>
    </row>
    <row r="31" spans="1:84" ht="57.95" customHeight="1">
      <c r="A31" s="504">
        <v>0.91666666666666663</v>
      </c>
      <c r="B31" s="504"/>
      <c r="C31" s="504">
        <v>0.97916666666666663</v>
      </c>
      <c r="D31" s="504"/>
      <c r="E31" s="494">
        <f t="shared" si="1"/>
        <v>1.5</v>
      </c>
      <c r="F31" s="494"/>
      <c r="G31" s="420" t="s">
        <v>127</v>
      </c>
      <c r="H31" s="420"/>
      <c r="I31" s="420">
        <v>2</v>
      </c>
      <c r="J31" s="420"/>
      <c r="K31" s="420">
        <v>1</v>
      </c>
      <c r="L31" s="420"/>
      <c r="M31" s="421" t="s">
        <v>707</v>
      </c>
      <c r="N31" s="421"/>
      <c r="O31" s="421"/>
      <c r="P31" s="528"/>
      <c r="Q31" s="529"/>
      <c r="R31" s="530"/>
      <c r="S31" s="498" t="s">
        <v>996</v>
      </c>
      <c r="T31" s="499"/>
      <c r="U31" s="499"/>
      <c r="V31" s="499"/>
      <c r="W31" s="499"/>
      <c r="X31" s="499"/>
      <c r="Y31" s="499"/>
      <c r="Z31" s="499"/>
      <c r="AA31" s="499"/>
      <c r="AB31" s="499"/>
      <c r="AC31" s="499"/>
      <c r="AD31" s="499"/>
      <c r="AE31" s="499"/>
      <c r="AF31" s="499"/>
      <c r="AG31" s="499"/>
      <c r="AH31" s="499"/>
      <c r="AI31" s="499"/>
      <c r="AJ31" s="499"/>
      <c r="AK31" s="499"/>
      <c r="AL31" s="499"/>
      <c r="AM31" s="500"/>
      <c r="AN31" s="414"/>
      <c r="AO31" s="414"/>
      <c r="AP31" s="124"/>
      <c r="AQ31" s="141"/>
      <c r="AR31" s="501"/>
      <c r="AS31" s="501"/>
      <c r="AT31" s="501"/>
      <c r="AU31" s="67">
        <f t="shared" si="2"/>
        <v>8</v>
      </c>
      <c r="AV31" s="503" t="s">
        <v>63</v>
      </c>
      <c r="AW31" s="503"/>
      <c r="AX31" s="503"/>
      <c r="AY31" s="503"/>
      <c r="AZ31" s="503"/>
      <c r="BA31" s="68" t="str">
        <f t="shared" si="0"/>
        <v/>
      </c>
      <c r="BF31" s="599"/>
      <c r="BG31" s="599"/>
      <c r="BH31" s="599"/>
      <c r="BI31" s="599"/>
      <c r="BJ31" s="599"/>
      <c r="BK31" s="570"/>
      <c r="BL31" s="570"/>
      <c r="BM31" s="570"/>
      <c r="BN31" s="570"/>
      <c r="BO31" s="570"/>
      <c r="BP31" s="570"/>
      <c r="BQ31" s="570"/>
      <c r="BR31" s="570"/>
      <c r="BS31" s="570"/>
      <c r="BT31" s="570"/>
      <c r="BU31" s="570"/>
      <c r="BV31" s="570"/>
      <c r="BW31" s="570"/>
      <c r="BX31" s="570"/>
      <c r="BY31" s="570"/>
      <c r="BZ31" s="570"/>
      <c r="CA31" s="570"/>
      <c r="CB31" s="570"/>
      <c r="CC31" s="570"/>
      <c r="CD31" s="570"/>
      <c r="CE31" s="570"/>
      <c r="CF31" s="570"/>
    </row>
    <row r="32" spans="1:84" ht="60" customHeight="1">
      <c r="A32" s="504">
        <v>0.97916666666666663</v>
      </c>
      <c r="B32" s="504"/>
      <c r="C32" s="504">
        <v>1</v>
      </c>
      <c r="D32" s="504"/>
      <c r="E32" s="494">
        <f t="shared" si="1"/>
        <v>0.5</v>
      </c>
      <c r="F32" s="494"/>
      <c r="G32" s="420" t="s">
        <v>127</v>
      </c>
      <c r="H32" s="420"/>
      <c r="I32" s="420">
        <v>3</v>
      </c>
      <c r="J32" s="420"/>
      <c r="K32" s="420">
        <v>1</v>
      </c>
      <c r="L32" s="420"/>
      <c r="M32" s="421" t="s">
        <v>707</v>
      </c>
      <c r="N32" s="421"/>
      <c r="O32" s="421"/>
      <c r="P32" s="528"/>
      <c r="Q32" s="529"/>
      <c r="R32" s="530"/>
      <c r="S32" s="498" t="s">
        <v>970</v>
      </c>
      <c r="T32" s="499"/>
      <c r="U32" s="499"/>
      <c r="V32" s="499"/>
      <c r="W32" s="499"/>
      <c r="X32" s="499"/>
      <c r="Y32" s="499"/>
      <c r="Z32" s="499"/>
      <c r="AA32" s="499"/>
      <c r="AB32" s="499"/>
      <c r="AC32" s="499"/>
      <c r="AD32" s="499"/>
      <c r="AE32" s="499"/>
      <c r="AF32" s="499"/>
      <c r="AG32" s="499"/>
      <c r="AH32" s="499"/>
      <c r="AI32" s="499"/>
      <c r="AJ32" s="499"/>
      <c r="AK32" s="499"/>
      <c r="AL32" s="499"/>
      <c r="AM32" s="500"/>
      <c r="AN32" s="501"/>
      <c r="AO32" s="501"/>
      <c r="AP32" s="127"/>
      <c r="AQ32" s="141"/>
      <c r="AR32" s="501"/>
      <c r="AS32" s="501"/>
      <c r="AT32" s="501"/>
      <c r="AU32" s="67">
        <f t="shared" si="2"/>
        <v>9</v>
      </c>
      <c r="AV32" s="503" t="s">
        <v>437</v>
      </c>
      <c r="AW32" s="503"/>
      <c r="AX32" s="503"/>
      <c r="AY32" s="503"/>
      <c r="AZ32" s="503"/>
      <c r="BA32" s="68" t="str">
        <f t="shared" si="0"/>
        <v/>
      </c>
      <c r="BF32" s="599"/>
      <c r="BG32" s="599"/>
      <c r="BH32" s="599"/>
      <c r="BI32" s="599"/>
      <c r="BJ32" s="599"/>
      <c r="BK32" s="570"/>
      <c r="BL32" s="570"/>
      <c r="BM32" s="570"/>
      <c r="BN32" s="570"/>
      <c r="BO32" s="570"/>
      <c r="BP32" s="570"/>
      <c r="BQ32" s="570"/>
      <c r="BR32" s="570"/>
      <c r="BS32" s="570"/>
      <c r="BT32" s="570"/>
      <c r="BU32" s="570"/>
      <c r="BV32" s="570"/>
      <c r="BW32" s="570"/>
      <c r="BX32" s="570"/>
      <c r="BY32" s="570"/>
      <c r="BZ32" s="570"/>
      <c r="CA32" s="570"/>
      <c r="CB32" s="570"/>
      <c r="CC32" s="570"/>
      <c r="CD32" s="570"/>
      <c r="CE32" s="570"/>
      <c r="CF32" s="570"/>
    </row>
    <row r="33" spans="1:68" ht="66" customHeight="1">
      <c r="A33" s="504"/>
      <c r="B33" s="504"/>
      <c r="C33" s="504"/>
      <c r="D33" s="504"/>
      <c r="E33" s="663" t="str">
        <f t="shared" si="1"/>
        <v/>
      </c>
      <c r="F33" s="664"/>
      <c r="G33" s="420"/>
      <c r="H33" s="420"/>
      <c r="I33" s="420"/>
      <c r="J33" s="420"/>
      <c r="K33" s="420"/>
      <c r="L33" s="420"/>
      <c r="M33" s="421"/>
      <c r="N33" s="421"/>
      <c r="O33" s="421"/>
      <c r="P33" s="516"/>
      <c r="Q33" s="517"/>
      <c r="R33" s="518"/>
      <c r="S33" s="498" t="s">
        <v>990</v>
      </c>
      <c r="T33" s="499"/>
      <c r="U33" s="499"/>
      <c r="V33" s="499"/>
      <c r="W33" s="499"/>
      <c r="X33" s="499"/>
      <c r="Y33" s="499"/>
      <c r="Z33" s="499"/>
      <c r="AA33" s="499"/>
      <c r="AB33" s="499"/>
      <c r="AC33" s="499"/>
      <c r="AD33" s="499"/>
      <c r="AE33" s="499"/>
      <c r="AF33" s="499"/>
      <c r="AG33" s="499"/>
      <c r="AH33" s="499"/>
      <c r="AI33" s="499"/>
      <c r="AJ33" s="499"/>
      <c r="AK33" s="499"/>
      <c r="AL33" s="499"/>
      <c r="AM33" s="500"/>
      <c r="AN33" s="482"/>
      <c r="AO33" s="483"/>
      <c r="AP33" s="147"/>
      <c r="AQ33" s="141"/>
      <c r="AR33" s="501"/>
      <c r="AS33" s="501"/>
      <c r="AT33" s="501"/>
      <c r="AU33" s="67">
        <f t="shared" si="2"/>
        <v>10</v>
      </c>
      <c r="AV33" s="503" t="s">
        <v>5</v>
      </c>
      <c r="AW33" s="503"/>
      <c r="AX33" s="503"/>
      <c r="AY33" s="503"/>
      <c r="AZ33" s="503"/>
      <c r="BA33" s="68" t="str">
        <f t="shared" si="0"/>
        <v/>
      </c>
      <c r="BF33" s="599"/>
      <c r="BG33" s="599"/>
      <c r="BH33" s="599"/>
      <c r="BI33" s="599"/>
      <c r="BJ33" s="599"/>
    </row>
    <row r="34" spans="1:68" ht="57.95" customHeight="1">
      <c r="A34" s="662"/>
      <c r="B34" s="506"/>
      <c r="C34" s="505"/>
      <c r="D34" s="506"/>
      <c r="E34" s="663" t="str">
        <f t="shared" si="1"/>
        <v/>
      </c>
      <c r="F34" s="664"/>
      <c r="G34" s="426"/>
      <c r="H34" s="427"/>
      <c r="I34" s="426"/>
      <c r="J34" s="427"/>
      <c r="K34" s="426"/>
      <c r="L34" s="427"/>
      <c r="M34" s="426"/>
      <c r="N34" s="536"/>
      <c r="O34" s="427"/>
      <c r="P34" s="528"/>
      <c r="Q34" s="529"/>
      <c r="R34" s="530"/>
      <c r="S34" s="498"/>
      <c r="T34" s="499"/>
      <c r="U34" s="499"/>
      <c r="V34" s="499"/>
      <c r="W34" s="499"/>
      <c r="X34" s="499"/>
      <c r="Y34" s="499"/>
      <c r="Z34" s="499"/>
      <c r="AA34" s="499"/>
      <c r="AB34" s="499"/>
      <c r="AC34" s="499"/>
      <c r="AD34" s="499"/>
      <c r="AE34" s="499"/>
      <c r="AF34" s="499"/>
      <c r="AG34" s="499"/>
      <c r="AH34" s="499"/>
      <c r="AI34" s="499"/>
      <c r="AJ34" s="499"/>
      <c r="AK34" s="499"/>
      <c r="AL34" s="499"/>
      <c r="AM34" s="500"/>
      <c r="AN34" s="482"/>
      <c r="AO34" s="483"/>
      <c r="AP34" s="147"/>
      <c r="AQ34" s="148"/>
      <c r="AR34" s="501"/>
      <c r="AS34" s="501"/>
      <c r="AT34" s="501"/>
      <c r="AU34" s="67">
        <f t="shared" si="2"/>
        <v>11</v>
      </c>
      <c r="AV34" s="503" t="s">
        <v>438</v>
      </c>
      <c r="AW34" s="503"/>
      <c r="AX34" s="503"/>
      <c r="AY34" s="503"/>
      <c r="AZ34" s="503"/>
      <c r="BA34" s="68" t="str">
        <f t="shared" si="0"/>
        <v/>
      </c>
      <c r="BF34" s="669"/>
      <c r="BG34" s="669"/>
      <c r="BH34" s="669"/>
      <c r="BI34" s="669"/>
      <c r="BJ34" s="669"/>
      <c r="BK34" s="44"/>
      <c r="BL34" s="44"/>
      <c r="BM34" s="44"/>
      <c r="BN34" s="44"/>
      <c r="BO34" s="44"/>
      <c r="BP34" s="44"/>
    </row>
    <row r="35" spans="1:68" ht="57.95" customHeight="1">
      <c r="A35" s="662"/>
      <c r="B35" s="506"/>
      <c r="C35" s="505"/>
      <c r="D35" s="506"/>
      <c r="E35" s="663" t="str">
        <f t="shared" si="1"/>
        <v/>
      </c>
      <c r="F35" s="664"/>
      <c r="G35" s="426"/>
      <c r="H35" s="427"/>
      <c r="I35" s="426"/>
      <c r="J35" s="427"/>
      <c r="K35" s="426"/>
      <c r="L35" s="427"/>
      <c r="M35" s="426"/>
      <c r="N35" s="536"/>
      <c r="O35" s="427"/>
      <c r="P35" s="528"/>
      <c r="Q35" s="529"/>
      <c r="R35" s="530"/>
      <c r="S35" s="498"/>
      <c r="T35" s="499"/>
      <c r="U35" s="499"/>
      <c r="V35" s="499"/>
      <c r="W35" s="499"/>
      <c r="X35" s="499"/>
      <c r="Y35" s="499"/>
      <c r="Z35" s="499"/>
      <c r="AA35" s="499"/>
      <c r="AB35" s="499"/>
      <c r="AC35" s="499"/>
      <c r="AD35" s="499"/>
      <c r="AE35" s="499"/>
      <c r="AF35" s="499"/>
      <c r="AG35" s="499"/>
      <c r="AH35" s="499"/>
      <c r="AI35" s="499"/>
      <c r="AJ35" s="499"/>
      <c r="AK35" s="499"/>
      <c r="AL35" s="499"/>
      <c r="AM35" s="500"/>
      <c r="AN35" s="414"/>
      <c r="AO35" s="414"/>
      <c r="AP35" s="124"/>
      <c r="AQ35" s="141"/>
      <c r="AR35" s="501"/>
      <c r="AS35" s="501"/>
      <c r="AT35" s="501"/>
      <c r="AU35" s="67">
        <f t="shared" si="2"/>
        <v>12</v>
      </c>
      <c r="AV35" s="503" t="s">
        <v>251</v>
      </c>
      <c r="AW35" s="503"/>
      <c r="AX35" s="503"/>
      <c r="AY35" s="503"/>
      <c r="AZ35" s="503"/>
      <c r="BA35" s="68" t="str">
        <f t="shared" si="0"/>
        <v/>
      </c>
      <c r="BF35" s="669"/>
      <c r="BG35" s="669"/>
      <c r="BH35" s="669"/>
      <c r="BI35" s="669"/>
      <c r="BJ35" s="669"/>
      <c r="BK35" s="45"/>
      <c r="BL35" s="45"/>
      <c r="BM35" s="44"/>
      <c r="BN35" s="44"/>
      <c r="BO35" s="44"/>
      <c r="BP35" s="44"/>
    </row>
    <row r="36" spans="1:68" ht="57.95" customHeight="1">
      <c r="A36" s="662"/>
      <c r="B36" s="506"/>
      <c r="C36" s="505"/>
      <c r="D36" s="506"/>
      <c r="E36" s="663" t="str">
        <f t="shared" si="1"/>
        <v/>
      </c>
      <c r="F36" s="664"/>
      <c r="G36" s="426"/>
      <c r="H36" s="427"/>
      <c r="I36" s="426"/>
      <c r="J36" s="427"/>
      <c r="K36" s="426"/>
      <c r="L36" s="427"/>
      <c r="M36" s="426"/>
      <c r="N36" s="536"/>
      <c r="O36" s="427"/>
      <c r="P36" s="528"/>
      <c r="Q36" s="529"/>
      <c r="R36" s="530"/>
      <c r="S36" s="498"/>
      <c r="T36" s="499"/>
      <c r="U36" s="499"/>
      <c r="V36" s="499"/>
      <c r="W36" s="499"/>
      <c r="X36" s="499"/>
      <c r="Y36" s="499"/>
      <c r="Z36" s="499"/>
      <c r="AA36" s="499"/>
      <c r="AB36" s="499"/>
      <c r="AC36" s="499"/>
      <c r="AD36" s="499"/>
      <c r="AE36" s="499"/>
      <c r="AF36" s="499"/>
      <c r="AG36" s="499"/>
      <c r="AH36" s="499"/>
      <c r="AI36" s="499"/>
      <c r="AJ36" s="499"/>
      <c r="AK36" s="499"/>
      <c r="AL36" s="499"/>
      <c r="AM36" s="500"/>
      <c r="AN36" s="414"/>
      <c r="AO36" s="414"/>
      <c r="AP36" s="124"/>
      <c r="AQ36" s="141"/>
      <c r="AR36" s="501"/>
      <c r="AS36" s="501"/>
      <c r="AT36" s="501"/>
      <c r="AU36" s="67">
        <f t="shared" si="2"/>
        <v>13</v>
      </c>
      <c r="AV36" s="503" t="s">
        <v>6</v>
      </c>
      <c r="AW36" s="503"/>
      <c r="AX36" s="503"/>
      <c r="AY36" s="503"/>
      <c r="AZ36" s="503"/>
      <c r="BA36" s="68" t="str">
        <f t="shared" si="0"/>
        <v/>
      </c>
      <c r="BF36" s="669"/>
      <c r="BG36" s="669"/>
      <c r="BH36" s="669"/>
      <c r="BI36" s="669"/>
      <c r="BJ36" s="669"/>
      <c r="BK36" s="45"/>
      <c r="BL36" s="45"/>
      <c r="BM36" s="44"/>
      <c r="BN36" s="44"/>
      <c r="BO36" s="44"/>
      <c r="BP36" s="44"/>
    </row>
    <row r="37" spans="1:68" ht="57.95" customHeight="1">
      <c r="A37" s="662"/>
      <c r="B37" s="506"/>
      <c r="C37" s="505"/>
      <c r="D37" s="506"/>
      <c r="E37" s="663" t="str">
        <f t="shared" si="1"/>
        <v/>
      </c>
      <c r="F37" s="664"/>
      <c r="G37" s="426"/>
      <c r="H37" s="427"/>
      <c r="I37" s="426"/>
      <c r="J37" s="427"/>
      <c r="K37" s="426"/>
      <c r="L37" s="427"/>
      <c r="M37" s="426"/>
      <c r="N37" s="536"/>
      <c r="O37" s="427"/>
      <c r="P37" s="528"/>
      <c r="Q37" s="529"/>
      <c r="R37" s="530"/>
      <c r="S37" s="498"/>
      <c r="T37" s="499"/>
      <c r="U37" s="499"/>
      <c r="V37" s="499"/>
      <c r="W37" s="499"/>
      <c r="X37" s="499"/>
      <c r="Y37" s="499"/>
      <c r="Z37" s="499"/>
      <c r="AA37" s="499"/>
      <c r="AB37" s="499"/>
      <c r="AC37" s="499"/>
      <c r="AD37" s="499"/>
      <c r="AE37" s="499"/>
      <c r="AF37" s="499"/>
      <c r="AG37" s="499"/>
      <c r="AH37" s="499"/>
      <c r="AI37" s="499"/>
      <c r="AJ37" s="499"/>
      <c r="AK37" s="499"/>
      <c r="AL37" s="499"/>
      <c r="AM37" s="500"/>
      <c r="AN37" s="414"/>
      <c r="AO37" s="414"/>
      <c r="AP37" s="124"/>
      <c r="AQ37" s="141"/>
      <c r="AR37" s="501"/>
      <c r="AS37" s="501"/>
      <c r="AT37" s="501"/>
      <c r="AU37" s="67">
        <f t="shared" si="2"/>
        <v>14</v>
      </c>
      <c r="AV37" s="503" t="s">
        <v>287</v>
      </c>
      <c r="AW37" s="503"/>
      <c r="AX37" s="503"/>
      <c r="AY37" s="503"/>
      <c r="AZ37" s="503"/>
      <c r="BA37" s="68" t="str">
        <f t="shared" si="0"/>
        <v/>
      </c>
      <c r="BF37" s="669"/>
      <c r="BG37" s="669"/>
      <c r="BH37" s="669"/>
      <c r="BI37" s="669"/>
      <c r="BJ37" s="669"/>
      <c r="BK37" s="45"/>
      <c r="BL37" s="45"/>
      <c r="BM37" s="44"/>
      <c r="BN37" s="44"/>
      <c r="BO37" s="44"/>
      <c r="BP37" s="44"/>
    </row>
    <row r="38" spans="1:68" ht="57.95" customHeight="1">
      <c r="A38" s="504"/>
      <c r="B38" s="504"/>
      <c r="C38" s="504"/>
      <c r="D38" s="504"/>
      <c r="E38" s="494" t="str">
        <f t="shared" si="1"/>
        <v/>
      </c>
      <c r="F38" s="494"/>
      <c r="G38" s="426"/>
      <c r="H38" s="427"/>
      <c r="I38" s="420"/>
      <c r="J38" s="420"/>
      <c r="K38" s="420"/>
      <c r="L38" s="420"/>
      <c r="M38" s="420"/>
      <c r="N38" s="420"/>
      <c r="O38" s="420"/>
      <c r="P38" s="528"/>
      <c r="Q38" s="529"/>
      <c r="R38" s="530"/>
      <c r="S38" s="498"/>
      <c r="T38" s="499"/>
      <c r="U38" s="499"/>
      <c r="V38" s="499"/>
      <c r="W38" s="499"/>
      <c r="X38" s="499"/>
      <c r="Y38" s="499"/>
      <c r="Z38" s="499"/>
      <c r="AA38" s="499"/>
      <c r="AB38" s="499"/>
      <c r="AC38" s="499"/>
      <c r="AD38" s="499"/>
      <c r="AE38" s="499"/>
      <c r="AF38" s="499"/>
      <c r="AG38" s="499"/>
      <c r="AH38" s="499"/>
      <c r="AI38" s="499"/>
      <c r="AJ38" s="499"/>
      <c r="AK38" s="499"/>
      <c r="AL38" s="499"/>
      <c r="AM38" s="500"/>
      <c r="AN38" s="414"/>
      <c r="AO38" s="414"/>
      <c r="AP38" s="124"/>
      <c r="AQ38" s="125"/>
      <c r="AR38" s="501"/>
      <c r="AS38" s="501"/>
      <c r="AT38" s="501"/>
      <c r="AU38" s="67">
        <f t="shared" si="2"/>
        <v>15</v>
      </c>
      <c r="AV38" s="503" t="s">
        <v>296</v>
      </c>
      <c r="AW38" s="503"/>
      <c r="AX38" s="503"/>
      <c r="AY38" s="503"/>
      <c r="AZ38" s="503"/>
      <c r="BA38" s="68" t="str">
        <f t="shared" si="0"/>
        <v/>
      </c>
      <c r="BF38" s="669"/>
      <c r="BG38" s="669"/>
      <c r="BH38" s="669"/>
      <c r="BI38" s="669"/>
      <c r="BJ38" s="669"/>
      <c r="BK38" s="45"/>
      <c r="BL38" s="45"/>
      <c r="BM38" s="44"/>
      <c r="BN38" s="44"/>
      <c r="BO38" s="44"/>
      <c r="BP38" s="44"/>
    </row>
    <row r="39" spans="1:68" ht="57.95" customHeight="1">
      <c r="A39" s="504"/>
      <c r="B39" s="504"/>
      <c r="C39" s="504"/>
      <c r="D39" s="504"/>
      <c r="E39" s="494" t="str">
        <f t="shared" si="1"/>
        <v/>
      </c>
      <c r="F39" s="494"/>
      <c r="G39" s="507"/>
      <c r="H39" s="507"/>
      <c r="I39" s="420"/>
      <c r="J39" s="420"/>
      <c r="K39" s="420"/>
      <c r="L39" s="420"/>
      <c r="M39" s="420"/>
      <c r="N39" s="420"/>
      <c r="O39" s="420"/>
      <c r="P39" s="533"/>
      <c r="Q39" s="534"/>
      <c r="R39" s="535"/>
      <c r="S39" s="498"/>
      <c r="T39" s="499"/>
      <c r="U39" s="499"/>
      <c r="V39" s="499"/>
      <c r="W39" s="499"/>
      <c r="X39" s="499"/>
      <c r="Y39" s="499"/>
      <c r="Z39" s="499"/>
      <c r="AA39" s="499"/>
      <c r="AB39" s="499"/>
      <c r="AC39" s="499"/>
      <c r="AD39" s="499"/>
      <c r="AE39" s="499"/>
      <c r="AF39" s="499"/>
      <c r="AG39" s="499"/>
      <c r="AH39" s="499"/>
      <c r="AI39" s="499"/>
      <c r="AJ39" s="499"/>
      <c r="AK39" s="499"/>
      <c r="AL39" s="499"/>
      <c r="AM39" s="500"/>
      <c r="AN39" s="501"/>
      <c r="AO39" s="501"/>
      <c r="AP39" s="119"/>
      <c r="AQ39" s="119"/>
      <c r="AR39" s="414"/>
      <c r="AS39" s="414"/>
      <c r="AT39" s="414"/>
      <c r="AU39" s="67">
        <f t="shared" si="2"/>
        <v>16</v>
      </c>
      <c r="AV39" s="503" t="s">
        <v>8</v>
      </c>
      <c r="AW39" s="503"/>
      <c r="AX39" s="503"/>
      <c r="AY39" s="503"/>
      <c r="AZ39" s="503"/>
      <c r="BA39" s="68" t="str">
        <f t="shared" si="0"/>
        <v/>
      </c>
      <c r="BF39" s="669"/>
      <c r="BG39" s="669"/>
      <c r="BH39" s="669"/>
      <c r="BI39" s="669"/>
      <c r="BJ39" s="669"/>
      <c r="BK39" s="45"/>
      <c r="BL39" s="45"/>
      <c r="BM39" s="44"/>
      <c r="BN39" s="44"/>
      <c r="BO39" s="44"/>
      <c r="BP39" s="44"/>
    </row>
    <row r="40" spans="1:68" ht="57.95" customHeight="1">
      <c r="A40" s="504"/>
      <c r="B40" s="504"/>
      <c r="C40" s="504"/>
      <c r="D40" s="504"/>
      <c r="E40" s="494" t="str">
        <f t="shared" si="1"/>
        <v/>
      </c>
      <c r="F40" s="494"/>
      <c r="G40" s="420"/>
      <c r="H40" s="420"/>
      <c r="I40" s="420"/>
      <c r="J40" s="420"/>
      <c r="K40" s="420"/>
      <c r="L40" s="420"/>
      <c r="M40" s="420"/>
      <c r="N40" s="420"/>
      <c r="O40" s="420"/>
      <c r="P40" s="516"/>
      <c r="Q40" s="517"/>
      <c r="R40" s="518"/>
      <c r="S40" s="498"/>
      <c r="T40" s="499"/>
      <c r="U40" s="499"/>
      <c r="V40" s="499"/>
      <c r="W40" s="499"/>
      <c r="X40" s="499"/>
      <c r="Y40" s="499"/>
      <c r="Z40" s="499"/>
      <c r="AA40" s="499"/>
      <c r="AB40" s="499"/>
      <c r="AC40" s="499"/>
      <c r="AD40" s="499"/>
      <c r="AE40" s="499"/>
      <c r="AF40" s="499"/>
      <c r="AG40" s="499"/>
      <c r="AH40" s="499"/>
      <c r="AI40" s="499"/>
      <c r="AJ40" s="499"/>
      <c r="AK40" s="499"/>
      <c r="AL40" s="499"/>
      <c r="AM40" s="500"/>
      <c r="AN40" s="501"/>
      <c r="AO40" s="501"/>
      <c r="AP40" s="123"/>
      <c r="AQ40" s="123"/>
      <c r="AR40" s="414"/>
      <c r="AS40" s="414"/>
      <c r="AT40" s="414"/>
      <c r="AU40" s="67">
        <f t="shared" si="2"/>
        <v>17</v>
      </c>
      <c r="AV40" s="503" t="s">
        <v>10</v>
      </c>
      <c r="AW40" s="503"/>
      <c r="AX40" s="503"/>
      <c r="AY40" s="503"/>
      <c r="AZ40" s="503"/>
      <c r="BA40" s="68" t="str">
        <f t="shared" si="0"/>
        <v/>
      </c>
      <c r="BF40" s="669"/>
      <c r="BG40" s="669"/>
      <c r="BH40" s="669"/>
      <c r="BI40" s="669"/>
      <c r="BJ40" s="669"/>
      <c r="BK40" s="44"/>
      <c r="BL40" s="44"/>
      <c r="BM40" s="44"/>
      <c r="BN40" s="44"/>
      <c r="BO40" s="44"/>
      <c r="BP40" s="44"/>
    </row>
    <row r="41" spans="1:68" ht="57.95" customHeight="1">
      <c r="A41" s="504"/>
      <c r="B41" s="504"/>
      <c r="C41" s="504"/>
      <c r="D41" s="504"/>
      <c r="E41" s="494" t="str">
        <f t="shared" si="1"/>
        <v/>
      </c>
      <c r="F41" s="494"/>
      <c r="G41" s="507"/>
      <c r="H41" s="507"/>
      <c r="I41" s="420"/>
      <c r="J41" s="420"/>
      <c r="K41" s="420"/>
      <c r="L41" s="420"/>
      <c r="M41" s="420"/>
      <c r="N41" s="420"/>
      <c r="O41" s="420"/>
      <c r="P41" s="516"/>
      <c r="Q41" s="517"/>
      <c r="R41" s="518"/>
      <c r="S41" s="498"/>
      <c r="T41" s="499"/>
      <c r="U41" s="499"/>
      <c r="V41" s="499"/>
      <c r="W41" s="499"/>
      <c r="X41" s="499"/>
      <c r="Y41" s="499"/>
      <c r="Z41" s="499"/>
      <c r="AA41" s="499"/>
      <c r="AB41" s="499"/>
      <c r="AC41" s="499"/>
      <c r="AD41" s="499"/>
      <c r="AE41" s="499"/>
      <c r="AF41" s="499"/>
      <c r="AG41" s="499"/>
      <c r="AH41" s="499"/>
      <c r="AI41" s="499"/>
      <c r="AJ41" s="499"/>
      <c r="AK41" s="499"/>
      <c r="AL41" s="499"/>
      <c r="AM41" s="500"/>
      <c r="AN41" s="501"/>
      <c r="AO41" s="501"/>
      <c r="AP41" s="123"/>
      <c r="AQ41" s="123"/>
      <c r="AR41" s="414"/>
      <c r="AS41" s="414"/>
      <c r="AT41" s="414"/>
      <c r="AU41" s="67">
        <f t="shared" si="2"/>
        <v>18</v>
      </c>
      <c r="AV41" s="503" t="s">
        <v>12</v>
      </c>
      <c r="AW41" s="503"/>
      <c r="AX41" s="503"/>
      <c r="AY41" s="503"/>
      <c r="AZ41" s="503"/>
      <c r="BA41" s="68" t="str">
        <f t="shared" si="0"/>
        <v/>
      </c>
      <c r="BF41" s="669"/>
      <c r="BG41" s="669"/>
      <c r="BH41" s="669"/>
      <c r="BI41" s="669"/>
      <c r="BJ41" s="669"/>
      <c r="BK41" s="44"/>
      <c r="BL41" s="44"/>
      <c r="BM41" s="44"/>
      <c r="BN41" s="44"/>
      <c r="BO41" s="44"/>
      <c r="BP41" s="44"/>
    </row>
    <row r="42" spans="1:68" ht="57.95" customHeight="1">
      <c r="A42" s="504"/>
      <c r="B42" s="504"/>
      <c r="C42" s="504"/>
      <c r="D42" s="504"/>
      <c r="E42" s="494" t="str">
        <f t="shared" si="1"/>
        <v/>
      </c>
      <c r="F42" s="494"/>
      <c r="G42" s="507"/>
      <c r="H42" s="507"/>
      <c r="I42" s="420"/>
      <c r="J42" s="420"/>
      <c r="K42" s="420"/>
      <c r="L42" s="420"/>
      <c r="M42" s="420"/>
      <c r="N42" s="420"/>
      <c r="O42" s="420"/>
      <c r="P42" s="528"/>
      <c r="Q42" s="529"/>
      <c r="R42" s="530"/>
      <c r="S42" s="498"/>
      <c r="T42" s="499"/>
      <c r="U42" s="499"/>
      <c r="V42" s="499"/>
      <c r="W42" s="499"/>
      <c r="X42" s="499"/>
      <c r="Y42" s="499"/>
      <c r="Z42" s="499"/>
      <c r="AA42" s="499"/>
      <c r="AB42" s="499"/>
      <c r="AC42" s="499"/>
      <c r="AD42" s="499"/>
      <c r="AE42" s="499"/>
      <c r="AF42" s="499"/>
      <c r="AG42" s="499"/>
      <c r="AH42" s="499"/>
      <c r="AI42" s="499"/>
      <c r="AJ42" s="499"/>
      <c r="AK42" s="499"/>
      <c r="AL42" s="499"/>
      <c r="AM42" s="500"/>
      <c r="AN42" s="414"/>
      <c r="AO42" s="414"/>
      <c r="AP42" s="122"/>
      <c r="AQ42" s="123"/>
      <c r="AR42" s="414"/>
      <c r="AS42" s="414"/>
      <c r="AT42" s="414"/>
      <c r="AU42" s="67">
        <f t="shared" si="2"/>
        <v>19</v>
      </c>
      <c r="AV42" s="509" t="s">
        <v>324</v>
      </c>
      <c r="AW42" s="509"/>
      <c r="AX42" s="509"/>
      <c r="AY42" s="509"/>
      <c r="AZ42" s="509"/>
      <c r="BA42" s="68" t="str">
        <f t="shared" si="0"/>
        <v/>
      </c>
      <c r="BF42" s="669"/>
      <c r="BG42" s="669"/>
      <c r="BH42" s="669"/>
      <c r="BI42" s="669"/>
      <c r="BJ42" s="669"/>
      <c r="BK42" s="44"/>
      <c r="BL42" s="44"/>
      <c r="BM42" s="44"/>
      <c r="BN42" s="44"/>
      <c r="BO42" s="44"/>
      <c r="BP42" s="44"/>
    </row>
    <row r="43" spans="1:68" ht="57.95" customHeight="1">
      <c r="A43" s="504"/>
      <c r="B43" s="504"/>
      <c r="C43" s="504"/>
      <c r="D43" s="504"/>
      <c r="E43" s="494" t="str">
        <f t="shared" si="1"/>
        <v/>
      </c>
      <c r="F43" s="494"/>
      <c r="G43" s="507"/>
      <c r="H43" s="507"/>
      <c r="I43" s="420"/>
      <c r="J43" s="420"/>
      <c r="K43" s="420"/>
      <c r="L43" s="420"/>
      <c r="M43" s="420"/>
      <c r="N43" s="420"/>
      <c r="O43" s="420"/>
      <c r="P43" s="516"/>
      <c r="Q43" s="517"/>
      <c r="R43" s="518"/>
      <c r="S43" s="498"/>
      <c r="T43" s="499"/>
      <c r="U43" s="499"/>
      <c r="V43" s="499"/>
      <c r="W43" s="499"/>
      <c r="X43" s="499"/>
      <c r="Y43" s="499"/>
      <c r="Z43" s="499"/>
      <c r="AA43" s="499"/>
      <c r="AB43" s="499"/>
      <c r="AC43" s="499"/>
      <c r="AD43" s="499"/>
      <c r="AE43" s="499"/>
      <c r="AF43" s="499"/>
      <c r="AG43" s="499"/>
      <c r="AH43" s="499"/>
      <c r="AI43" s="499"/>
      <c r="AJ43" s="499"/>
      <c r="AK43" s="499"/>
      <c r="AL43" s="499"/>
      <c r="AM43" s="500"/>
      <c r="AN43" s="414"/>
      <c r="AO43" s="414"/>
      <c r="AP43" s="122"/>
      <c r="AQ43" s="122"/>
      <c r="AR43" s="414"/>
      <c r="AS43" s="414"/>
      <c r="AT43" s="414"/>
      <c r="AU43" s="67">
        <f t="shared" si="2"/>
        <v>20</v>
      </c>
      <c r="AV43" s="509" t="s">
        <v>336</v>
      </c>
      <c r="AW43" s="509"/>
      <c r="AX43" s="509"/>
      <c r="AY43" s="509"/>
      <c r="AZ43" s="509"/>
      <c r="BA43" s="68" t="str">
        <f t="shared" si="0"/>
        <v/>
      </c>
      <c r="BF43" s="669"/>
      <c r="BG43" s="669"/>
      <c r="BH43" s="669"/>
      <c r="BI43" s="669"/>
      <c r="BJ43" s="669"/>
      <c r="BK43" s="44"/>
      <c r="BL43" s="44"/>
      <c r="BM43" s="44"/>
      <c r="BN43" s="44"/>
      <c r="BO43" s="44"/>
      <c r="BP43" s="44"/>
    </row>
    <row r="44" spans="1:68" ht="57.95" customHeight="1">
      <c r="A44" s="479"/>
      <c r="B44" s="480"/>
      <c r="C44" s="508"/>
      <c r="D44" s="480"/>
      <c r="E44" s="494" t="str">
        <f t="shared" si="1"/>
        <v/>
      </c>
      <c r="F44" s="494"/>
      <c r="G44" s="507"/>
      <c r="H44" s="507"/>
      <c r="I44" s="420"/>
      <c r="J44" s="420"/>
      <c r="K44" s="420"/>
      <c r="L44" s="420"/>
      <c r="M44" s="420"/>
      <c r="N44" s="420"/>
      <c r="O44" s="420"/>
      <c r="P44" s="528"/>
      <c r="Q44" s="529"/>
      <c r="R44" s="530"/>
      <c r="S44" s="498"/>
      <c r="T44" s="499"/>
      <c r="U44" s="499"/>
      <c r="V44" s="499"/>
      <c r="W44" s="499"/>
      <c r="X44" s="499"/>
      <c r="Y44" s="499"/>
      <c r="Z44" s="499"/>
      <c r="AA44" s="499"/>
      <c r="AB44" s="499"/>
      <c r="AC44" s="499"/>
      <c r="AD44" s="499"/>
      <c r="AE44" s="499"/>
      <c r="AF44" s="499"/>
      <c r="AG44" s="499"/>
      <c r="AH44" s="499"/>
      <c r="AI44" s="499"/>
      <c r="AJ44" s="499"/>
      <c r="AK44" s="499"/>
      <c r="AL44" s="499"/>
      <c r="AM44" s="500"/>
      <c r="AN44" s="414"/>
      <c r="AO44" s="414"/>
      <c r="AP44" s="122"/>
      <c r="AQ44" s="123"/>
      <c r="AR44" s="414"/>
      <c r="AS44" s="414"/>
      <c r="AT44" s="414"/>
      <c r="AU44" s="67">
        <f t="shared" si="2"/>
        <v>21</v>
      </c>
      <c r="AV44" s="503" t="s">
        <v>347</v>
      </c>
      <c r="AW44" s="503"/>
      <c r="AX44" s="503"/>
      <c r="AY44" s="503"/>
      <c r="AZ44" s="503"/>
      <c r="BA44" s="68" t="str">
        <f t="shared" si="0"/>
        <v/>
      </c>
      <c r="BF44" s="599"/>
      <c r="BG44" s="599"/>
      <c r="BH44" s="599"/>
      <c r="BI44" s="599"/>
      <c r="BJ44" s="599"/>
    </row>
    <row r="45" spans="1:68" ht="57.95" customHeight="1">
      <c r="A45" s="479"/>
      <c r="B45" s="480"/>
      <c r="C45" s="508"/>
      <c r="D45" s="480"/>
      <c r="E45" s="494" t="str">
        <f t="shared" si="1"/>
        <v/>
      </c>
      <c r="F45" s="494"/>
      <c r="G45" s="507"/>
      <c r="H45" s="507"/>
      <c r="I45" s="420"/>
      <c r="J45" s="420"/>
      <c r="K45" s="420"/>
      <c r="L45" s="420"/>
      <c r="M45" s="420"/>
      <c r="N45" s="420"/>
      <c r="O45" s="420"/>
      <c r="P45" s="516"/>
      <c r="Q45" s="517"/>
      <c r="R45" s="518"/>
      <c r="S45" s="498"/>
      <c r="T45" s="499"/>
      <c r="U45" s="499"/>
      <c r="V45" s="499"/>
      <c r="W45" s="499"/>
      <c r="X45" s="499"/>
      <c r="Y45" s="499"/>
      <c r="Z45" s="499"/>
      <c r="AA45" s="499"/>
      <c r="AB45" s="499"/>
      <c r="AC45" s="499"/>
      <c r="AD45" s="499"/>
      <c r="AE45" s="499"/>
      <c r="AF45" s="499"/>
      <c r="AG45" s="499"/>
      <c r="AH45" s="499"/>
      <c r="AI45" s="499"/>
      <c r="AJ45" s="499"/>
      <c r="AK45" s="499"/>
      <c r="AL45" s="499"/>
      <c r="AM45" s="500"/>
      <c r="AN45" s="501"/>
      <c r="AO45" s="501"/>
      <c r="AP45" s="123"/>
      <c r="AQ45" s="122"/>
      <c r="AR45" s="414"/>
      <c r="AS45" s="414"/>
      <c r="AT45" s="414"/>
      <c r="AU45" s="67">
        <f t="shared" si="2"/>
        <v>22</v>
      </c>
      <c r="AV45" s="503" t="s">
        <v>357</v>
      </c>
      <c r="AW45" s="503"/>
      <c r="AX45" s="503"/>
      <c r="AY45" s="503"/>
      <c r="AZ45" s="503"/>
      <c r="BA45" s="68" t="str">
        <f t="shared" si="0"/>
        <v/>
      </c>
      <c r="BF45" s="599"/>
      <c r="BG45" s="599"/>
      <c r="BH45" s="599"/>
      <c r="BI45" s="599"/>
      <c r="BJ45" s="599"/>
    </row>
    <row r="46" spans="1:68" ht="54.75" customHeight="1">
      <c r="A46" s="479"/>
      <c r="B46" s="480"/>
      <c r="C46" s="508"/>
      <c r="D46" s="480"/>
      <c r="E46" s="494" t="str">
        <f t="shared" si="1"/>
        <v/>
      </c>
      <c r="F46" s="494"/>
      <c r="G46" s="507"/>
      <c r="H46" s="507"/>
      <c r="I46" s="420"/>
      <c r="J46" s="420"/>
      <c r="K46" s="420"/>
      <c r="L46" s="420"/>
      <c r="M46" s="420"/>
      <c r="N46" s="420"/>
      <c r="O46" s="420"/>
      <c r="P46" s="516"/>
      <c r="Q46" s="517"/>
      <c r="R46" s="518"/>
      <c r="S46" s="498"/>
      <c r="T46" s="499"/>
      <c r="U46" s="499"/>
      <c r="V46" s="499"/>
      <c r="W46" s="499"/>
      <c r="X46" s="499"/>
      <c r="Y46" s="499"/>
      <c r="Z46" s="499"/>
      <c r="AA46" s="499"/>
      <c r="AB46" s="499"/>
      <c r="AC46" s="499"/>
      <c r="AD46" s="499"/>
      <c r="AE46" s="499"/>
      <c r="AF46" s="499"/>
      <c r="AG46" s="499"/>
      <c r="AH46" s="499"/>
      <c r="AI46" s="499"/>
      <c r="AJ46" s="499"/>
      <c r="AK46" s="499"/>
      <c r="AL46" s="499"/>
      <c r="AM46" s="500"/>
      <c r="AN46" s="414"/>
      <c r="AO46" s="414"/>
      <c r="AP46" s="122"/>
      <c r="AQ46" s="123"/>
      <c r="AR46" s="414"/>
      <c r="AS46" s="414"/>
      <c r="AT46" s="414"/>
      <c r="AU46" s="67">
        <f t="shared" si="2"/>
        <v>23</v>
      </c>
      <c r="AV46" s="503" t="s">
        <v>439</v>
      </c>
      <c r="AW46" s="503"/>
      <c r="AX46" s="503"/>
      <c r="AY46" s="503"/>
      <c r="AZ46" s="503"/>
      <c r="BA46" s="68" t="str">
        <f t="shared" si="0"/>
        <v/>
      </c>
      <c r="BF46" s="599"/>
      <c r="BG46" s="599"/>
      <c r="BH46" s="599"/>
      <c r="BI46" s="599"/>
      <c r="BJ46" s="599"/>
    </row>
    <row r="47" spans="1:68" ht="53.25" customHeight="1">
      <c r="A47" s="479"/>
      <c r="B47" s="480"/>
      <c r="C47" s="508"/>
      <c r="D47" s="480"/>
      <c r="E47" s="494" t="str">
        <f t="shared" si="1"/>
        <v/>
      </c>
      <c r="F47" s="494"/>
      <c r="G47" s="420"/>
      <c r="H47" s="420"/>
      <c r="I47" s="420"/>
      <c r="J47" s="420"/>
      <c r="K47" s="420"/>
      <c r="L47" s="420"/>
      <c r="M47" s="420"/>
      <c r="N47" s="420"/>
      <c r="O47" s="420"/>
      <c r="P47" s="528"/>
      <c r="Q47" s="529"/>
      <c r="R47" s="530"/>
      <c r="S47" s="498"/>
      <c r="T47" s="499"/>
      <c r="U47" s="499"/>
      <c r="V47" s="499"/>
      <c r="W47" s="499"/>
      <c r="X47" s="499"/>
      <c r="Y47" s="499"/>
      <c r="Z47" s="499"/>
      <c r="AA47" s="499"/>
      <c r="AB47" s="499"/>
      <c r="AC47" s="499"/>
      <c r="AD47" s="499"/>
      <c r="AE47" s="499"/>
      <c r="AF47" s="499"/>
      <c r="AG47" s="499"/>
      <c r="AH47" s="499"/>
      <c r="AI47" s="499"/>
      <c r="AJ47" s="499"/>
      <c r="AK47" s="499"/>
      <c r="AL47" s="499"/>
      <c r="AM47" s="500"/>
      <c r="AN47" s="414"/>
      <c r="AO47" s="414"/>
      <c r="AP47" s="122"/>
      <c r="AQ47" s="122"/>
      <c r="AR47" s="414"/>
      <c r="AS47" s="414"/>
      <c r="AT47" s="414"/>
      <c r="AU47" s="67">
        <f t="shared" si="2"/>
        <v>24</v>
      </c>
      <c r="AV47" s="503" t="s">
        <v>66</v>
      </c>
      <c r="AW47" s="503"/>
      <c r="AX47" s="503"/>
      <c r="AY47" s="503"/>
      <c r="AZ47" s="503"/>
      <c r="BA47" s="68" t="str">
        <f t="shared" si="0"/>
        <v/>
      </c>
      <c r="BF47" s="599"/>
      <c r="BG47" s="599"/>
      <c r="BH47" s="599"/>
      <c r="BI47" s="599"/>
      <c r="BJ47" s="599"/>
    </row>
    <row r="48" spans="1:68" ht="57.95" customHeight="1">
      <c r="A48" s="479"/>
      <c r="B48" s="480"/>
      <c r="C48" s="668"/>
      <c r="D48" s="480"/>
      <c r="E48" s="494" t="str">
        <f t="shared" si="1"/>
        <v/>
      </c>
      <c r="F48" s="494"/>
      <c r="G48" s="420"/>
      <c r="H48" s="420"/>
      <c r="I48" s="421"/>
      <c r="J48" s="421"/>
      <c r="K48" s="421"/>
      <c r="L48" s="421"/>
      <c r="M48" s="420"/>
      <c r="N48" s="420"/>
      <c r="O48" s="420"/>
      <c r="P48" s="528"/>
      <c r="Q48" s="529"/>
      <c r="R48" s="530"/>
      <c r="S48" s="498"/>
      <c r="T48" s="499"/>
      <c r="U48" s="499"/>
      <c r="V48" s="499"/>
      <c r="W48" s="499"/>
      <c r="X48" s="499"/>
      <c r="Y48" s="499"/>
      <c r="Z48" s="499"/>
      <c r="AA48" s="499"/>
      <c r="AB48" s="499"/>
      <c r="AC48" s="499"/>
      <c r="AD48" s="499"/>
      <c r="AE48" s="499"/>
      <c r="AF48" s="499"/>
      <c r="AG48" s="499"/>
      <c r="AH48" s="499"/>
      <c r="AI48" s="499"/>
      <c r="AJ48" s="499"/>
      <c r="AK48" s="499"/>
      <c r="AL48" s="499"/>
      <c r="AM48" s="500"/>
      <c r="AN48" s="414"/>
      <c r="AO48" s="414"/>
      <c r="AP48" s="122"/>
      <c r="AQ48" s="123"/>
      <c r="AR48" s="414"/>
      <c r="AS48" s="414"/>
      <c r="AT48" s="414"/>
      <c r="AU48" s="67">
        <f t="shared" si="2"/>
        <v>25</v>
      </c>
      <c r="AV48" s="503" t="s">
        <v>67</v>
      </c>
      <c r="AW48" s="503"/>
      <c r="AX48" s="503"/>
      <c r="AY48" s="503"/>
      <c r="AZ48" s="503"/>
      <c r="BA48" s="68" t="str">
        <f t="shared" si="0"/>
        <v/>
      </c>
      <c r="BF48" s="599"/>
      <c r="BG48" s="599"/>
      <c r="BH48" s="599"/>
      <c r="BI48" s="599"/>
      <c r="BJ48" s="599"/>
    </row>
    <row r="49" spans="1:62" ht="57.95" customHeight="1">
      <c r="A49" s="479"/>
      <c r="B49" s="480"/>
      <c r="C49" s="508"/>
      <c r="D49" s="480"/>
      <c r="E49" s="494" t="str">
        <f t="shared" si="1"/>
        <v/>
      </c>
      <c r="F49" s="494"/>
      <c r="G49" s="420"/>
      <c r="H49" s="420"/>
      <c r="I49" s="426"/>
      <c r="J49" s="427"/>
      <c r="K49" s="328"/>
      <c r="L49" s="329"/>
      <c r="M49" s="420"/>
      <c r="N49" s="420"/>
      <c r="O49" s="420"/>
      <c r="P49" s="528"/>
      <c r="Q49" s="529"/>
      <c r="R49" s="530"/>
      <c r="S49" s="498"/>
      <c r="T49" s="499"/>
      <c r="U49" s="499"/>
      <c r="V49" s="499"/>
      <c r="W49" s="499"/>
      <c r="X49" s="499"/>
      <c r="Y49" s="499"/>
      <c r="Z49" s="499"/>
      <c r="AA49" s="499"/>
      <c r="AB49" s="499"/>
      <c r="AC49" s="499"/>
      <c r="AD49" s="499"/>
      <c r="AE49" s="499"/>
      <c r="AF49" s="499"/>
      <c r="AG49" s="499"/>
      <c r="AH49" s="499"/>
      <c r="AI49" s="499"/>
      <c r="AJ49" s="499"/>
      <c r="AK49" s="499"/>
      <c r="AL49" s="499"/>
      <c r="AM49" s="500"/>
      <c r="AN49" s="414"/>
      <c r="AO49" s="414"/>
      <c r="AP49" s="122"/>
      <c r="AQ49" s="123"/>
      <c r="AR49" s="414"/>
      <c r="AS49" s="414"/>
      <c r="AT49" s="414"/>
      <c r="AU49" s="67">
        <f t="shared" si="2"/>
        <v>26</v>
      </c>
      <c r="AV49" s="503" t="s">
        <v>398</v>
      </c>
      <c r="AW49" s="503"/>
      <c r="AX49" s="503"/>
      <c r="AY49" s="503"/>
      <c r="AZ49" s="503"/>
      <c r="BA49" s="68" t="str">
        <f t="shared" si="0"/>
        <v/>
      </c>
      <c r="BF49" s="599"/>
      <c r="BG49" s="599"/>
      <c r="BH49" s="599"/>
      <c r="BI49" s="599"/>
      <c r="BJ49" s="599"/>
    </row>
    <row r="50" spans="1:62" ht="57.95" customHeight="1">
      <c r="A50" s="479"/>
      <c r="B50" s="480"/>
      <c r="C50" s="508"/>
      <c r="D50" s="480"/>
      <c r="E50" s="494" t="str">
        <f t="shared" si="1"/>
        <v/>
      </c>
      <c r="F50" s="494"/>
      <c r="G50" s="420"/>
      <c r="H50" s="420"/>
      <c r="I50" s="420"/>
      <c r="J50" s="420"/>
      <c r="K50" s="420"/>
      <c r="L50" s="420"/>
      <c r="M50" s="420"/>
      <c r="N50" s="420"/>
      <c r="O50" s="420"/>
      <c r="P50" s="528"/>
      <c r="Q50" s="529"/>
      <c r="R50" s="530"/>
      <c r="S50" s="498"/>
      <c r="T50" s="499"/>
      <c r="U50" s="499"/>
      <c r="V50" s="499"/>
      <c r="W50" s="499"/>
      <c r="X50" s="499"/>
      <c r="Y50" s="499"/>
      <c r="Z50" s="499"/>
      <c r="AA50" s="499"/>
      <c r="AB50" s="499"/>
      <c r="AC50" s="499"/>
      <c r="AD50" s="499"/>
      <c r="AE50" s="499"/>
      <c r="AF50" s="499"/>
      <c r="AG50" s="499"/>
      <c r="AH50" s="499"/>
      <c r="AI50" s="499"/>
      <c r="AJ50" s="499"/>
      <c r="AK50" s="499"/>
      <c r="AL50" s="499"/>
      <c r="AM50" s="500"/>
      <c r="AN50" s="414"/>
      <c r="AO50" s="414"/>
      <c r="AP50" s="122"/>
      <c r="AQ50" s="123"/>
      <c r="AR50" s="414"/>
      <c r="AS50" s="414"/>
      <c r="AT50" s="414"/>
      <c r="AU50" s="67">
        <f t="shared" si="2"/>
        <v>27</v>
      </c>
      <c r="AV50" s="503" t="s">
        <v>404</v>
      </c>
      <c r="AW50" s="503"/>
      <c r="AX50" s="503"/>
      <c r="AY50" s="503"/>
      <c r="AZ50" s="503"/>
      <c r="BA50" s="68" t="str">
        <f t="shared" si="0"/>
        <v/>
      </c>
      <c r="BF50" s="599"/>
      <c r="BG50" s="599"/>
      <c r="BH50" s="599"/>
      <c r="BI50" s="599"/>
      <c r="BJ50" s="599"/>
    </row>
    <row r="51" spans="1:62" ht="57.95" customHeight="1">
      <c r="A51" s="497"/>
      <c r="B51" s="496"/>
      <c r="C51" s="495"/>
      <c r="D51" s="496"/>
      <c r="E51" s="494" t="str">
        <f t="shared" si="1"/>
        <v/>
      </c>
      <c r="F51" s="494"/>
      <c r="G51" s="420"/>
      <c r="H51" s="420"/>
      <c r="I51" s="420"/>
      <c r="J51" s="420"/>
      <c r="K51" s="420"/>
      <c r="L51" s="420"/>
      <c r="M51" s="420"/>
      <c r="N51" s="420"/>
      <c r="O51" s="420"/>
      <c r="P51" s="528"/>
      <c r="Q51" s="529"/>
      <c r="R51" s="530"/>
      <c r="S51" s="498"/>
      <c r="T51" s="499"/>
      <c r="U51" s="499"/>
      <c r="V51" s="499"/>
      <c r="W51" s="499"/>
      <c r="X51" s="499"/>
      <c r="Y51" s="499"/>
      <c r="Z51" s="499"/>
      <c r="AA51" s="499"/>
      <c r="AB51" s="499"/>
      <c r="AC51" s="499"/>
      <c r="AD51" s="499"/>
      <c r="AE51" s="499"/>
      <c r="AF51" s="499"/>
      <c r="AG51" s="499"/>
      <c r="AH51" s="499"/>
      <c r="AI51" s="499"/>
      <c r="AJ51" s="499"/>
      <c r="AK51" s="499"/>
      <c r="AL51" s="499"/>
      <c r="AM51" s="500"/>
      <c r="AN51" s="414"/>
      <c r="AO51" s="414"/>
      <c r="AP51" s="122"/>
      <c r="AQ51" s="123"/>
      <c r="AR51" s="414"/>
      <c r="AS51" s="414"/>
      <c r="AT51" s="414"/>
      <c r="AU51" s="67">
        <f t="shared" si="2"/>
        <v>28</v>
      </c>
      <c r="AV51" s="503" t="s">
        <v>13</v>
      </c>
      <c r="AW51" s="503"/>
      <c r="AX51" s="503"/>
      <c r="AY51" s="503"/>
      <c r="AZ51" s="503"/>
      <c r="BA51" s="68" t="str">
        <f t="shared" si="0"/>
        <v/>
      </c>
      <c r="BF51" s="599"/>
      <c r="BG51" s="599"/>
      <c r="BH51" s="599"/>
      <c r="BI51" s="599"/>
      <c r="BJ51" s="599"/>
    </row>
    <row r="52" spans="1:62" ht="57.95" customHeight="1">
      <c r="A52" s="497"/>
      <c r="B52" s="496"/>
      <c r="C52" s="495"/>
      <c r="D52" s="496"/>
      <c r="E52" s="494" t="str">
        <f t="shared" si="1"/>
        <v/>
      </c>
      <c r="F52" s="494"/>
      <c r="G52" s="507"/>
      <c r="H52" s="507"/>
      <c r="I52" s="524"/>
      <c r="J52" s="526"/>
      <c r="K52" s="507"/>
      <c r="L52" s="507"/>
      <c r="M52" s="524"/>
      <c r="N52" s="525"/>
      <c r="O52" s="526"/>
      <c r="P52" s="516"/>
      <c r="Q52" s="517"/>
      <c r="R52" s="518"/>
      <c r="S52" s="498"/>
      <c r="T52" s="499"/>
      <c r="U52" s="499"/>
      <c r="V52" s="499"/>
      <c r="W52" s="499"/>
      <c r="X52" s="499"/>
      <c r="Y52" s="499"/>
      <c r="Z52" s="499"/>
      <c r="AA52" s="499"/>
      <c r="AB52" s="499"/>
      <c r="AC52" s="499"/>
      <c r="AD52" s="499"/>
      <c r="AE52" s="499"/>
      <c r="AF52" s="499"/>
      <c r="AG52" s="499"/>
      <c r="AH52" s="499"/>
      <c r="AI52" s="499"/>
      <c r="AJ52" s="499"/>
      <c r="AK52" s="499"/>
      <c r="AL52" s="499"/>
      <c r="AM52" s="500"/>
      <c r="AN52" s="514"/>
      <c r="AO52" s="515"/>
      <c r="AP52" s="66"/>
      <c r="AQ52" s="66"/>
      <c r="AR52" s="414"/>
      <c r="AS52" s="414"/>
      <c r="AT52" s="414"/>
      <c r="AU52" s="67">
        <f t="shared" si="2"/>
        <v>29</v>
      </c>
      <c r="AV52" s="503" t="s">
        <v>420</v>
      </c>
      <c r="AW52" s="503"/>
      <c r="AX52" s="503"/>
      <c r="AY52" s="503"/>
      <c r="AZ52" s="503"/>
      <c r="BA52" s="68" t="str">
        <f t="shared" si="0"/>
        <v/>
      </c>
      <c r="BF52" s="599"/>
      <c r="BG52" s="599"/>
      <c r="BH52" s="599"/>
      <c r="BI52" s="599"/>
      <c r="BJ52" s="599"/>
    </row>
    <row r="53" spans="1:62" s="80" customFormat="1" ht="57.95" customHeight="1">
      <c r="A53" s="497"/>
      <c r="B53" s="496"/>
      <c r="C53" s="495"/>
      <c r="D53" s="496"/>
      <c r="E53" s="494" t="str">
        <f t="shared" ref="E53" si="3">IF((MOD(C53,1)-MOD(A53,1))*86400/3600&gt;0,(MOD(C53,1)-MOD(A53,1))*86400/3600, IF((MOD(C53,1)-MOD(A53,1))*86400/3600&lt;0,(MOD(C53,1)-MOD(A53,1))*86400/3600+24,""))</f>
        <v/>
      </c>
      <c r="F53" s="494"/>
      <c r="G53" s="507"/>
      <c r="H53" s="507"/>
      <c r="I53" s="524"/>
      <c r="J53" s="526"/>
      <c r="K53" s="507"/>
      <c r="L53" s="507"/>
      <c r="M53" s="524"/>
      <c r="N53" s="525"/>
      <c r="O53" s="526"/>
      <c r="P53" s="516"/>
      <c r="Q53" s="517"/>
      <c r="R53" s="518"/>
      <c r="S53" s="498"/>
      <c r="T53" s="499"/>
      <c r="U53" s="499"/>
      <c r="V53" s="499"/>
      <c r="W53" s="499"/>
      <c r="X53" s="499"/>
      <c r="Y53" s="499"/>
      <c r="Z53" s="499"/>
      <c r="AA53" s="499"/>
      <c r="AB53" s="499"/>
      <c r="AC53" s="499"/>
      <c r="AD53" s="499"/>
      <c r="AE53" s="499"/>
      <c r="AF53" s="499"/>
      <c r="AG53" s="499"/>
      <c r="AH53" s="499"/>
      <c r="AI53" s="499"/>
      <c r="AJ53" s="499"/>
      <c r="AK53" s="499"/>
      <c r="AL53" s="499"/>
      <c r="AM53" s="500"/>
      <c r="AN53" s="514"/>
      <c r="AO53" s="515"/>
      <c r="AP53" s="78"/>
      <c r="AQ53" s="78"/>
      <c r="AR53" s="414"/>
      <c r="AS53" s="414"/>
      <c r="AT53" s="414"/>
      <c r="AU53" s="69"/>
      <c r="AV53" s="665"/>
      <c r="AW53" s="666"/>
      <c r="AX53" s="666"/>
      <c r="AY53" s="666"/>
      <c r="AZ53" s="667"/>
      <c r="BA53" s="68"/>
      <c r="BF53" s="599"/>
      <c r="BG53" s="599"/>
      <c r="BH53" s="599"/>
      <c r="BI53" s="599"/>
      <c r="BJ53" s="599"/>
    </row>
    <row r="54" spans="1:62" s="80" customFormat="1" ht="57.95" customHeight="1">
      <c r="A54" s="497"/>
      <c r="B54" s="496"/>
      <c r="C54" s="495"/>
      <c r="D54" s="496"/>
      <c r="E54" s="494" t="str">
        <f t="shared" ref="E54" si="4">IF((MOD(C54,1)-MOD(A54,1))*86400/3600&gt;0,(MOD(C54,1)-MOD(A54,1))*86400/3600, IF((MOD(C54,1)-MOD(A54,1))*86400/3600&lt;0,(MOD(C54,1)-MOD(A54,1))*86400/3600+24,""))</f>
        <v/>
      </c>
      <c r="F54" s="494"/>
      <c r="G54" s="507"/>
      <c r="H54" s="507"/>
      <c r="I54" s="524"/>
      <c r="J54" s="526"/>
      <c r="K54" s="507"/>
      <c r="L54" s="507"/>
      <c r="M54" s="524"/>
      <c r="N54" s="525"/>
      <c r="O54" s="526"/>
      <c r="P54" s="516"/>
      <c r="Q54" s="517"/>
      <c r="R54" s="518"/>
      <c r="S54" s="498"/>
      <c r="T54" s="499"/>
      <c r="U54" s="499"/>
      <c r="V54" s="499"/>
      <c r="W54" s="499"/>
      <c r="X54" s="499"/>
      <c r="Y54" s="499"/>
      <c r="Z54" s="499"/>
      <c r="AA54" s="499"/>
      <c r="AB54" s="499"/>
      <c r="AC54" s="499"/>
      <c r="AD54" s="499"/>
      <c r="AE54" s="499"/>
      <c r="AF54" s="499"/>
      <c r="AG54" s="499"/>
      <c r="AH54" s="499"/>
      <c r="AI54" s="499"/>
      <c r="AJ54" s="499"/>
      <c r="AK54" s="499"/>
      <c r="AL54" s="499"/>
      <c r="AM54" s="500"/>
      <c r="AN54" s="514"/>
      <c r="AO54" s="515"/>
      <c r="AP54" s="78"/>
      <c r="AQ54" s="78"/>
      <c r="AR54" s="414"/>
      <c r="AS54" s="414"/>
      <c r="AT54" s="414"/>
      <c r="AU54" s="69"/>
      <c r="AV54" s="665"/>
      <c r="AW54" s="666"/>
      <c r="AX54" s="666"/>
      <c r="AY54" s="666"/>
      <c r="AZ54" s="667"/>
      <c r="BA54" s="68"/>
      <c r="BF54" s="599"/>
      <c r="BG54" s="599"/>
      <c r="BH54" s="599"/>
      <c r="BI54" s="599"/>
      <c r="BJ54" s="599"/>
    </row>
    <row r="55" spans="1:62" s="80" customFormat="1" ht="57.95" customHeight="1">
      <c r="A55" s="497"/>
      <c r="B55" s="496"/>
      <c r="C55" s="495"/>
      <c r="D55" s="496"/>
      <c r="E55" s="494" t="str">
        <f t="shared" si="1"/>
        <v/>
      </c>
      <c r="F55" s="494"/>
      <c r="G55" s="507"/>
      <c r="H55" s="507"/>
      <c r="I55" s="524"/>
      <c r="J55" s="526"/>
      <c r="K55" s="507"/>
      <c r="L55" s="507"/>
      <c r="M55" s="524"/>
      <c r="N55" s="525"/>
      <c r="O55" s="526"/>
      <c r="P55" s="516"/>
      <c r="Q55" s="517"/>
      <c r="R55" s="518"/>
      <c r="S55" s="498"/>
      <c r="T55" s="499"/>
      <c r="U55" s="499"/>
      <c r="V55" s="499"/>
      <c r="W55" s="499"/>
      <c r="X55" s="499"/>
      <c r="Y55" s="499"/>
      <c r="Z55" s="499"/>
      <c r="AA55" s="499"/>
      <c r="AB55" s="499"/>
      <c r="AC55" s="499"/>
      <c r="AD55" s="499"/>
      <c r="AE55" s="499"/>
      <c r="AF55" s="499"/>
      <c r="AG55" s="499"/>
      <c r="AH55" s="499"/>
      <c r="AI55" s="499"/>
      <c r="AJ55" s="499"/>
      <c r="AK55" s="499"/>
      <c r="AL55" s="499"/>
      <c r="AM55" s="500"/>
      <c r="AN55" s="514"/>
      <c r="AO55" s="515"/>
      <c r="AP55" s="78"/>
      <c r="AQ55" s="78"/>
      <c r="AR55" s="414"/>
      <c r="AS55" s="414"/>
      <c r="AT55" s="414"/>
      <c r="AU55" s="69"/>
      <c r="AV55" s="665"/>
      <c r="AW55" s="666"/>
      <c r="AX55" s="666"/>
      <c r="AY55" s="666"/>
      <c r="AZ55" s="667"/>
      <c r="BA55" s="68"/>
      <c r="BF55" s="599"/>
      <c r="BG55" s="599"/>
      <c r="BH55" s="599"/>
      <c r="BI55" s="599"/>
      <c r="BJ55" s="599"/>
    </row>
    <row r="56" spans="1:62" s="80" customFormat="1" ht="57.95" customHeight="1">
      <c r="A56" s="497"/>
      <c r="B56" s="496"/>
      <c r="C56" s="495"/>
      <c r="D56" s="496"/>
      <c r="E56" s="494" t="str">
        <f t="shared" si="1"/>
        <v/>
      </c>
      <c r="F56" s="494"/>
      <c r="G56" s="507"/>
      <c r="H56" s="507"/>
      <c r="I56" s="524"/>
      <c r="J56" s="526"/>
      <c r="K56" s="507"/>
      <c r="L56" s="507"/>
      <c r="M56" s="524"/>
      <c r="N56" s="525"/>
      <c r="O56" s="526"/>
      <c r="P56" s="516"/>
      <c r="Q56" s="517"/>
      <c r="R56" s="518"/>
      <c r="S56" s="511"/>
      <c r="T56" s="512"/>
      <c r="U56" s="512"/>
      <c r="V56" s="512"/>
      <c r="W56" s="512"/>
      <c r="X56" s="512"/>
      <c r="Y56" s="512"/>
      <c r="Z56" s="512"/>
      <c r="AA56" s="512"/>
      <c r="AB56" s="512"/>
      <c r="AC56" s="512"/>
      <c r="AD56" s="512"/>
      <c r="AE56" s="512"/>
      <c r="AF56" s="512"/>
      <c r="AG56" s="512"/>
      <c r="AH56" s="512"/>
      <c r="AI56" s="512"/>
      <c r="AJ56" s="512"/>
      <c r="AK56" s="512"/>
      <c r="AL56" s="512"/>
      <c r="AM56" s="513"/>
      <c r="AN56" s="514"/>
      <c r="AO56" s="515"/>
      <c r="AP56" s="78"/>
      <c r="AQ56" s="78"/>
      <c r="AR56" s="414"/>
      <c r="AS56" s="414"/>
      <c r="AT56" s="414"/>
      <c r="AU56" s="69"/>
      <c r="AV56" s="665"/>
      <c r="AW56" s="666"/>
      <c r="AX56" s="666"/>
      <c r="AY56" s="666"/>
      <c r="AZ56" s="667"/>
      <c r="BA56" s="68"/>
      <c r="BF56" s="599"/>
      <c r="BG56" s="599"/>
      <c r="BH56" s="599"/>
      <c r="BI56" s="599"/>
      <c r="BJ56" s="599"/>
    </row>
    <row r="57" spans="1:62" s="80" customFormat="1" ht="57.95" customHeight="1">
      <c r="A57" s="497"/>
      <c r="B57" s="496"/>
      <c r="C57" s="495"/>
      <c r="D57" s="496"/>
      <c r="E57" s="494" t="str">
        <f t="shared" ref="E57" si="5">IF((MOD(C57,1)-MOD(A57,1))*86400/3600&gt;0,(MOD(C57,1)-MOD(A57,1))*86400/3600, IF((MOD(C57,1)-MOD(A57,1))*86400/3600&lt;0,(MOD(C57,1)-MOD(A57,1))*86400/3600+24,""))</f>
        <v/>
      </c>
      <c r="F57" s="494"/>
      <c r="G57" s="507"/>
      <c r="H57" s="507"/>
      <c r="I57" s="524"/>
      <c r="J57" s="526"/>
      <c r="K57" s="507"/>
      <c r="L57" s="507"/>
      <c r="M57" s="524"/>
      <c r="N57" s="525"/>
      <c r="O57" s="526"/>
      <c r="P57" s="516"/>
      <c r="Q57" s="517"/>
      <c r="R57" s="518"/>
      <c r="S57" s="511"/>
      <c r="T57" s="512"/>
      <c r="U57" s="512"/>
      <c r="V57" s="512"/>
      <c r="W57" s="512"/>
      <c r="X57" s="512"/>
      <c r="Y57" s="512"/>
      <c r="Z57" s="512"/>
      <c r="AA57" s="512"/>
      <c r="AB57" s="512"/>
      <c r="AC57" s="512"/>
      <c r="AD57" s="512"/>
      <c r="AE57" s="512"/>
      <c r="AF57" s="512"/>
      <c r="AG57" s="512"/>
      <c r="AH57" s="512"/>
      <c r="AI57" s="512"/>
      <c r="AJ57" s="512"/>
      <c r="AK57" s="512"/>
      <c r="AL57" s="512"/>
      <c r="AM57" s="513"/>
      <c r="AN57" s="514"/>
      <c r="AO57" s="515"/>
      <c r="AP57" s="78"/>
      <c r="AQ57" s="78"/>
      <c r="AR57" s="414"/>
      <c r="AS57" s="414"/>
      <c r="AT57" s="414"/>
      <c r="AU57" s="69"/>
      <c r="AV57" s="665"/>
      <c r="AW57" s="666"/>
      <c r="AX57" s="666"/>
      <c r="AY57" s="666"/>
      <c r="AZ57" s="667"/>
      <c r="BA57" s="68"/>
      <c r="BF57" s="599"/>
      <c r="BG57" s="599"/>
      <c r="BH57" s="599"/>
      <c r="BI57" s="599"/>
      <c r="BJ57" s="599"/>
    </row>
    <row r="58" spans="1:62" s="80" customFormat="1" ht="57.95" customHeight="1">
      <c r="A58" s="497"/>
      <c r="B58" s="496"/>
      <c r="C58" s="495"/>
      <c r="D58" s="496"/>
      <c r="E58" s="494" t="str">
        <f t="shared" si="1"/>
        <v/>
      </c>
      <c r="F58" s="494"/>
      <c r="G58" s="507"/>
      <c r="H58" s="507"/>
      <c r="I58" s="524"/>
      <c r="J58" s="526"/>
      <c r="K58" s="507"/>
      <c r="L58" s="507"/>
      <c r="M58" s="524"/>
      <c r="N58" s="525"/>
      <c r="O58" s="526"/>
      <c r="P58" s="516"/>
      <c r="Q58" s="517"/>
      <c r="R58" s="518"/>
      <c r="S58" s="511"/>
      <c r="T58" s="512"/>
      <c r="U58" s="512"/>
      <c r="V58" s="512"/>
      <c r="W58" s="512"/>
      <c r="X58" s="512"/>
      <c r="Y58" s="512"/>
      <c r="Z58" s="512"/>
      <c r="AA58" s="512"/>
      <c r="AB58" s="512"/>
      <c r="AC58" s="512"/>
      <c r="AD58" s="512"/>
      <c r="AE58" s="512"/>
      <c r="AF58" s="512"/>
      <c r="AG58" s="512"/>
      <c r="AH58" s="512"/>
      <c r="AI58" s="512"/>
      <c r="AJ58" s="512"/>
      <c r="AK58" s="512"/>
      <c r="AL58" s="512"/>
      <c r="AM58" s="513"/>
      <c r="AN58" s="514"/>
      <c r="AO58" s="515"/>
      <c r="AP58" s="78"/>
      <c r="AQ58" s="78"/>
      <c r="AR58" s="414"/>
      <c r="AS58" s="414"/>
      <c r="AT58" s="414"/>
      <c r="AU58" s="69"/>
      <c r="AV58" s="665"/>
      <c r="AW58" s="666"/>
      <c r="AX58" s="666"/>
      <c r="AY58" s="666"/>
      <c r="AZ58" s="667"/>
      <c r="BA58" s="68"/>
      <c r="BF58" s="599"/>
      <c r="BG58" s="599"/>
      <c r="BH58" s="599"/>
      <c r="BI58" s="599"/>
      <c r="BJ58" s="599"/>
    </row>
    <row r="59" spans="1:62" s="80" customFormat="1" ht="57.95" customHeight="1">
      <c r="A59" s="497"/>
      <c r="B59" s="496"/>
      <c r="C59" s="495"/>
      <c r="D59" s="496"/>
      <c r="E59" s="494" t="str">
        <f t="shared" ref="E59" si="6">IF((MOD(C59,1)-MOD(A59,1))*86400/3600&gt;0,(MOD(C59,1)-MOD(A59,1))*86400/3600, IF((MOD(C59,1)-MOD(A59,1))*86400/3600&lt;0,(MOD(C59,1)-MOD(A59,1))*86400/3600+24,""))</f>
        <v/>
      </c>
      <c r="F59" s="494"/>
      <c r="G59" s="507"/>
      <c r="H59" s="507"/>
      <c r="I59" s="524"/>
      <c r="J59" s="526"/>
      <c r="K59" s="507"/>
      <c r="L59" s="507"/>
      <c r="M59" s="524"/>
      <c r="N59" s="525"/>
      <c r="O59" s="526"/>
      <c r="P59" s="516"/>
      <c r="Q59" s="517"/>
      <c r="R59" s="518"/>
      <c r="S59" s="511"/>
      <c r="T59" s="512"/>
      <c r="U59" s="512"/>
      <c r="V59" s="512"/>
      <c r="W59" s="512"/>
      <c r="X59" s="512"/>
      <c r="Y59" s="512"/>
      <c r="Z59" s="512"/>
      <c r="AA59" s="512"/>
      <c r="AB59" s="512"/>
      <c r="AC59" s="512"/>
      <c r="AD59" s="512"/>
      <c r="AE59" s="512"/>
      <c r="AF59" s="512"/>
      <c r="AG59" s="512"/>
      <c r="AH59" s="512"/>
      <c r="AI59" s="512"/>
      <c r="AJ59" s="512"/>
      <c r="AK59" s="512"/>
      <c r="AL59" s="512"/>
      <c r="AM59" s="513"/>
      <c r="AN59" s="514"/>
      <c r="AO59" s="515"/>
      <c r="AP59" s="78"/>
      <c r="AQ59" s="78"/>
      <c r="AR59" s="414"/>
      <c r="AS59" s="414"/>
      <c r="AT59" s="414"/>
      <c r="AU59" s="69"/>
      <c r="AV59" s="665"/>
      <c r="AW59" s="666"/>
      <c r="AX59" s="666"/>
      <c r="AY59" s="666"/>
      <c r="AZ59" s="667"/>
      <c r="BA59" s="68"/>
      <c r="BF59" s="599"/>
      <c r="BG59" s="599"/>
      <c r="BH59" s="599"/>
      <c r="BI59" s="599"/>
      <c r="BJ59" s="599"/>
    </row>
    <row r="60" spans="1:62" ht="57.95" customHeight="1">
      <c r="A60" s="497"/>
      <c r="B60" s="496"/>
      <c r="C60" s="495"/>
      <c r="D60" s="496"/>
      <c r="E60" s="494" t="str">
        <f t="shared" si="1"/>
        <v/>
      </c>
      <c r="F60" s="494"/>
      <c r="G60" s="507"/>
      <c r="H60" s="507"/>
      <c r="I60" s="524"/>
      <c r="J60" s="526"/>
      <c r="K60" s="507"/>
      <c r="L60" s="507"/>
      <c r="M60" s="524"/>
      <c r="N60" s="525"/>
      <c r="O60" s="526"/>
      <c r="P60" s="516"/>
      <c r="Q60" s="517"/>
      <c r="R60" s="518"/>
      <c r="S60" s="510"/>
      <c r="T60" s="510"/>
      <c r="U60" s="510"/>
      <c r="V60" s="510"/>
      <c r="W60" s="510"/>
      <c r="X60" s="510"/>
      <c r="Y60" s="510"/>
      <c r="Z60" s="510"/>
      <c r="AA60" s="510"/>
      <c r="AB60" s="510"/>
      <c r="AC60" s="510"/>
      <c r="AD60" s="510"/>
      <c r="AE60" s="510"/>
      <c r="AF60" s="510"/>
      <c r="AG60" s="510"/>
      <c r="AH60" s="510"/>
      <c r="AI60" s="510"/>
      <c r="AJ60" s="510"/>
      <c r="AK60" s="510"/>
      <c r="AL60" s="510"/>
      <c r="AM60" s="510"/>
      <c r="AN60" s="514"/>
      <c r="AO60" s="515"/>
      <c r="AP60" s="66"/>
      <c r="AQ60" s="66"/>
      <c r="AR60" s="414"/>
      <c r="AS60" s="414"/>
      <c r="AT60" s="414"/>
      <c r="AU60" s="69"/>
      <c r="AV60" s="665"/>
      <c r="AW60" s="666"/>
      <c r="AX60" s="666"/>
      <c r="AY60" s="666"/>
      <c r="AZ60" s="667"/>
      <c r="BA60" s="68"/>
      <c r="BF60" s="599"/>
      <c r="BG60" s="599"/>
      <c r="BH60" s="599"/>
      <c r="BI60" s="599"/>
      <c r="BJ60" s="599"/>
    </row>
    <row r="61" spans="1:62" s="30" customFormat="1" ht="57.95" customHeight="1">
      <c r="A61" s="694"/>
      <c r="B61" s="693"/>
      <c r="C61" s="692"/>
      <c r="D61" s="693"/>
      <c r="E61" s="494" t="str">
        <f t="shared" si="1"/>
        <v/>
      </c>
      <c r="F61" s="494"/>
      <c r="G61" s="523"/>
      <c r="H61" s="523"/>
      <c r="I61" s="514"/>
      <c r="J61" s="515"/>
      <c r="K61" s="523"/>
      <c r="L61" s="523"/>
      <c r="M61" s="524"/>
      <c r="N61" s="525"/>
      <c r="O61" s="526"/>
      <c r="P61" s="516"/>
      <c r="Q61" s="517"/>
      <c r="R61" s="518"/>
      <c r="S61" s="527"/>
      <c r="T61" s="527"/>
      <c r="U61" s="527"/>
      <c r="V61" s="527"/>
      <c r="W61" s="527"/>
      <c r="X61" s="527"/>
      <c r="Y61" s="527"/>
      <c r="Z61" s="527"/>
      <c r="AA61" s="527"/>
      <c r="AB61" s="527"/>
      <c r="AC61" s="527"/>
      <c r="AD61" s="527"/>
      <c r="AE61" s="527"/>
      <c r="AF61" s="527"/>
      <c r="AG61" s="527"/>
      <c r="AH61" s="527"/>
      <c r="AI61" s="527"/>
      <c r="AJ61" s="527"/>
      <c r="AK61" s="527"/>
      <c r="AL61" s="527"/>
      <c r="AM61" s="527"/>
      <c r="AN61" s="514"/>
      <c r="AO61" s="515"/>
      <c r="AP61" s="66"/>
      <c r="AQ61" s="66"/>
      <c r="AR61" s="70"/>
      <c r="AS61" s="71"/>
      <c r="AT61" s="72"/>
      <c r="AU61" s="69"/>
      <c r="AV61" s="689"/>
      <c r="AW61" s="690"/>
      <c r="AX61" s="690"/>
      <c r="AY61" s="690"/>
      <c r="AZ61" s="691"/>
      <c r="BA61" s="68"/>
    </row>
    <row r="62" spans="1:62" s="32" customFormat="1" ht="36" customHeight="1">
      <c r="A62" s="418" t="s">
        <v>95</v>
      </c>
      <c r="B62" s="419"/>
      <c r="C62" s="419"/>
      <c r="D62" s="419"/>
      <c r="E62" s="419">
        <f>SUM(E16:F61)</f>
        <v>24</v>
      </c>
      <c r="F62" s="419"/>
      <c r="G62" s="519"/>
      <c r="H62" s="520"/>
      <c r="I62" s="520"/>
      <c r="J62" s="520"/>
      <c r="K62" s="520"/>
      <c r="L62" s="520"/>
      <c r="M62" s="520"/>
      <c r="N62" s="520"/>
      <c r="O62" s="520"/>
      <c r="P62" s="520"/>
      <c r="Q62" s="520"/>
      <c r="R62" s="520"/>
      <c r="S62" s="520"/>
      <c r="T62" s="520"/>
      <c r="U62" s="520"/>
      <c r="V62" s="520"/>
      <c r="W62" s="520"/>
      <c r="X62" s="520"/>
      <c r="Y62" s="520"/>
      <c r="Z62" s="520"/>
      <c r="AA62" s="520"/>
      <c r="AB62" s="520"/>
      <c r="AC62" s="520"/>
      <c r="AD62" s="520"/>
      <c r="AE62" s="520"/>
      <c r="AF62" s="520"/>
      <c r="AG62" s="520"/>
      <c r="AH62" s="520"/>
      <c r="AI62" s="520"/>
      <c r="AJ62" s="520"/>
      <c r="AK62" s="520"/>
      <c r="AL62" s="520"/>
      <c r="AM62" s="520"/>
      <c r="AN62" s="520"/>
      <c r="AO62" s="520"/>
      <c r="AP62" s="520"/>
      <c r="AQ62" s="520"/>
      <c r="AR62" s="520"/>
      <c r="AS62" s="520"/>
      <c r="AT62" s="520"/>
      <c r="AU62" s="51"/>
      <c r="AV62" s="419" t="s">
        <v>95</v>
      </c>
      <c r="AW62" s="419"/>
      <c r="AX62" s="419"/>
      <c r="AY62" s="419"/>
      <c r="AZ62" s="419"/>
      <c r="BA62" s="52">
        <f>SUM(BA16:BA52)</f>
        <v>24</v>
      </c>
    </row>
    <row r="63" spans="1:62" s="32" customFormat="1" ht="65.099999999999994" customHeight="1">
      <c r="A63" s="532" t="s">
        <v>20</v>
      </c>
      <c r="B63" s="532"/>
      <c r="C63" s="532" t="s">
        <v>19</v>
      </c>
      <c r="D63" s="532"/>
      <c r="E63" s="532" t="s">
        <v>505</v>
      </c>
      <c r="F63" s="532"/>
      <c r="G63" s="522" t="s">
        <v>123</v>
      </c>
      <c r="H63" s="522"/>
      <c r="I63" s="532" t="s">
        <v>0</v>
      </c>
      <c r="J63" s="532"/>
      <c r="K63" s="522" t="s">
        <v>642</v>
      </c>
      <c r="L63" s="522"/>
      <c r="M63" s="532" t="s">
        <v>643</v>
      </c>
      <c r="N63" s="532"/>
      <c r="O63" s="532"/>
      <c r="P63" s="521" t="s">
        <v>757</v>
      </c>
      <c r="Q63" s="521"/>
      <c r="R63" s="521"/>
      <c r="S63" s="680" t="s">
        <v>488</v>
      </c>
      <c r="T63" s="680"/>
      <c r="U63" s="680"/>
      <c r="V63" s="680"/>
      <c r="W63" s="680"/>
      <c r="X63" s="680"/>
      <c r="Y63" s="680"/>
      <c r="Z63" s="680"/>
      <c r="AA63" s="680"/>
      <c r="AB63" s="680"/>
      <c r="AC63" s="680"/>
      <c r="AD63" s="680"/>
      <c r="AE63" s="680"/>
      <c r="AF63" s="680"/>
      <c r="AG63" s="680"/>
      <c r="AH63" s="680"/>
      <c r="AI63" s="680"/>
      <c r="AJ63" s="680"/>
      <c r="AK63" s="680"/>
      <c r="AL63" s="680"/>
      <c r="AM63" s="680"/>
      <c r="AN63" s="679" t="s">
        <v>661</v>
      </c>
      <c r="AO63" s="679"/>
      <c r="AP63" s="679"/>
      <c r="AQ63" s="679"/>
      <c r="AR63" s="521" t="s">
        <v>726</v>
      </c>
      <c r="AS63" s="521"/>
      <c r="AT63" s="521"/>
      <c r="AU63" s="687"/>
      <c r="AV63" s="681"/>
      <c r="AW63" s="682"/>
      <c r="AX63" s="682"/>
      <c r="AY63" s="682"/>
      <c r="AZ63" s="683"/>
      <c r="BA63" s="677"/>
    </row>
    <row r="64" spans="1:62" s="32" customFormat="1" ht="29.25" customHeight="1">
      <c r="A64" s="532"/>
      <c r="B64" s="532"/>
      <c r="C64" s="532"/>
      <c r="D64" s="532"/>
      <c r="E64" s="532"/>
      <c r="F64" s="532"/>
      <c r="G64" s="522"/>
      <c r="H64" s="522"/>
      <c r="I64" s="532"/>
      <c r="J64" s="532"/>
      <c r="K64" s="522"/>
      <c r="L64" s="522"/>
      <c r="M64" s="532"/>
      <c r="N64" s="532"/>
      <c r="O64" s="532"/>
      <c r="P64" s="521"/>
      <c r="Q64" s="521"/>
      <c r="R64" s="521"/>
      <c r="S64" s="680"/>
      <c r="T64" s="680"/>
      <c r="U64" s="680"/>
      <c r="V64" s="680"/>
      <c r="W64" s="680"/>
      <c r="X64" s="680"/>
      <c r="Y64" s="680"/>
      <c r="Z64" s="680"/>
      <c r="AA64" s="680"/>
      <c r="AB64" s="680"/>
      <c r="AC64" s="680"/>
      <c r="AD64" s="680"/>
      <c r="AE64" s="680"/>
      <c r="AF64" s="680"/>
      <c r="AG64" s="680"/>
      <c r="AH64" s="680"/>
      <c r="AI64" s="680"/>
      <c r="AJ64" s="680"/>
      <c r="AK64" s="680"/>
      <c r="AL64" s="680"/>
      <c r="AM64" s="680"/>
      <c r="AN64" s="679" t="s">
        <v>551</v>
      </c>
      <c r="AO64" s="679"/>
      <c r="AP64" s="41" t="s">
        <v>659</v>
      </c>
      <c r="AQ64" s="41" t="s">
        <v>660</v>
      </c>
      <c r="AR64" s="521"/>
      <c r="AS64" s="521"/>
      <c r="AT64" s="521"/>
      <c r="AU64" s="688"/>
      <c r="AV64" s="684"/>
      <c r="AW64" s="685"/>
      <c r="AX64" s="685"/>
      <c r="AY64" s="685"/>
      <c r="AZ64" s="686"/>
      <c r="BA64" s="678"/>
    </row>
    <row r="65" spans="1:53" s="32" customFormat="1" ht="57.95" customHeight="1">
      <c r="A65" s="479">
        <v>0</v>
      </c>
      <c r="B65" s="480"/>
      <c r="C65" s="632">
        <v>6.25E-2</v>
      </c>
      <c r="D65" s="633"/>
      <c r="E65" s="494">
        <f t="shared" ref="E65" si="7">IF((MOD(C65,1)-MOD(A65,1))*86400/3600&gt;0,(MOD(C65,1)-MOD(A65,1))*86400/3600, IF((MOD(C65,1)-MOD(A65,1))*86400/3600&lt;0,(MOD(C65,1)-MOD(A65,1))*86400/3600+24,""))</f>
        <v>1.5</v>
      </c>
      <c r="F65" s="494"/>
      <c r="G65" s="426" t="s">
        <v>127</v>
      </c>
      <c r="H65" s="427"/>
      <c r="I65" s="420">
        <v>2</v>
      </c>
      <c r="J65" s="420"/>
      <c r="K65" s="420">
        <v>1</v>
      </c>
      <c r="L65" s="420"/>
      <c r="M65" s="421" t="s">
        <v>707</v>
      </c>
      <c r="N65" s="421"/>
      <c r="O65" s="421"/>
      <c r="P65" s="421"/>
      <c r="Q65" s="421"/>
      <c r="R65" s="421"/>
      <c r="S65" s="498" t="s">
        <v>998</v>
      </c>
      <c r="T65" s="499"/>
      <c r="U65" s="499"/>
      <c r="V65" s="499"/>
      <c r="W65" s="499"/>
      <c r="X65" s="499"/>
      <c r="Y65" s="499"/>
      <c r="Z65" s="499"/>
      <c r="AA65" s="499"/>
      <c r="AB65" s="499"/>
      <c r="AC65" s="499"/>
      <c r="AD65" s="499"/>
      <c r="AE65" s="499"/>
      <c r="AF65" s="499"/>
      <c r="AG65" s="499"/>
      <c r="AH65" s="499"/>
      <c r="AI65" s="499"/>
      <c r="AJ65" s="499"/>
      <c r="AK65" s="499"/>
      <c r="AL65" s="499"/>
      <c r="AM65" s="500"/>
      <c r="AN65" s="501"/>
      <c r="AO65" s="501"/>
      <c r="AP65" s="149"/>
      <c r="AQ65" s="149"/>
      <c r="AR65" s="501"/>
      <c r="AS65" s="501"/>
      <c r="AT65" s="501"/>
      <c r="AU65" s="67"/>
      <c r="AV65" s="425"/>
      <c r="AW65" s="425"/>
      <c r="AX65" s="425"/>
      <c r="AY65" s="425"/>
      <c r="AZ65" s="425"/>
      <c r="BA65" s="68"/>
    </row>
    <row r="66" spans="1:53" s="32" customFormat="1" ht="59.25" customHeight="1">
      <c r="A66" s="479">
        <v>6.25E-2</v>
      </c>
      <c r="B66" s="480"/>
      <c r="C66" s="508">
        <v>8.3333333333333329E-2</v>
      </c>
      <c r="D66" s="480"/>
      <c r="E66" s="494">
        <f t="shared" ref="E66:E76" si="8">IF((MOD(C66,1)-MOD(A66,1))*86400/3600&gt;0,(MOD(C66,1)-MOD(A66,1))*86400/3600, IF((MOD(C66,1)-MOD(A66,1))*86400/3600&lt;0,(MOD(C66,1)-MOD(A66,1))*86400/3600+24,""))</f>
        <v>0.49999999999999989</v>
      </c>
      <c r="F66" s="494"/>
      <c r="G66" s="426" t="s">
        <v>127</v>
      </c>
      <c r="H66" s="427"/>
      <c r="I66" s="426">
        <v>3</v>
      </c>
      <c r="J66" s="427"/>
      <c r="K66" s="426">
        <v>1</v>
      </c>
      <c r="L66" s="427"/>
      <c r="M66" s="421" t="s">
        <v>707</v>
      </c>
      <c r="N66" s="421"/>
      <c r="O66" s="421"/>
      <c r="P66" s="421"/>
      <c r="Q66" s="421"/>
      <c r="R66" s="421"/>
      <c r="S66" s="498" t="s">
        <v>970</v>
      </c>
      <c r="T66" s="499"/>
      <c r="U66" s="499"/>
      <c r="V66" s="499"/>
      <c r="W66" s="499"/>
      <c r="X66" s="499"/>
      <c r="Y66" s="499"/>
      <c r="Z66" s="499"/>
      <c r="AA66" s="499"/>
      <c r="AB66" s="499"/>
      <c r="AC66" s="499"/>
      <c r="AD66" s="499"/>
      <c r="AE66" s="499"/>
      <c r="AF66" s="499"/>
      <c r="AG66" s="499"/>
      <c r="AH66" s="499"/>
      <c r="AI66" s="499"/>
      <c r="AJ66" s="499"/>
      <c r="AK66" s="499"/>
      <c r="AL66" s="499"/>
      <c r="AM66" s="500"/>
      <c r="AN66" s="501"/>
      <c r="AO66" s="501"/>
      <c r="AP66" s="149"/>
      <c r="AQ66" s="149"/>
      <c r="AR66" s="501"/>
      <c r="AS66" s="501"/>
      <c r="AT66" s="501"/>
      <c r="AU66" s="67"/>
      <c r="AV66" s="425"/>
      <c r="AW66" s="425"/>
      <c r="AX66" s="425"/>
      <c r="AY66" s="425"/>
      <c r="AZ66" s="425"/>
      <c r="BA66" s="68"/>
    </row>
    <row r="67" spans="1:53" s="32" customFormat="1" ht="60" customHeight="1">
      <c r="A67" s="479">
        <v>8.3333333333333329E-2</v>
      </c>
      <c r="B67" s="480"/>
      <c r="C67" s="508">
        <v>0.14583333333333334</v>
      </c>
      <c r="D67" s="480"/>
      <c r="E67" s="494">
        <f t="shared" si="8"/>
        <v>1.5000000000000002</v>
      </c>
      <c r="F67" s="494"/>
      <c r="G67" s="426" t="s">
        <v>127</v>
      </c>
      <c r="H67" s="427"/>
      <c r="I67" s="420">
        <v>2</v>
      </c>
      <c r="J67" s="420"/>
      <c r="K67" s="420">
        <v>1</v>
      </c>
      <c r="L67" s="420"/>
      <c r="M67" s="421" t="s">
        <v>707</v>
      </c>
      <c r="N67" s="421"/>
      <c r="O67" s="421"/>
      <c r="P67" s="421"/>
      <c r="Q67" s="421"/>
      <c r="R67" s="421"/>
      <c r="S67" s="498" t="s">
        <v>997</v>
      </c>
      <c r="T67" s="499"/>
      <c r="U67" s="499"/>
      <c r="V67" s="499"/>
      <c r="W67" s="499"/>
      <c r="X67" s="499"/>
      <c r="Y67" s="499"/>
      <c r="Z67" s="499"/>
      <c r="AA67" s="499"/>
      <c r="AB67" s="499"/>
      <c r="AC67" s="499"/>
      <c r="AD67" s="499"/>
      <c r="AE67" s="499"/>
      <c r="AF67" s="499"/>
      <c r="AG67" s="499"/>
      <c r="AH67" s="499"/>
      <c r="AI67" s="499"/>
      <c r="AJ67" s="499"/>
      <c r="AK67" s="499"/>
      <c r="AL67" s="499"/>
      <c r="AM67" s="500"/>
      <c r="AN67" s="501"/>
      <c r="AO67" s="501"/>
      <c r="AP67" s="149"/>
      <c r="AQ67" s="149"/>
      <c r="AR67" s="670"/>
      <c r="AS67" s="670"/>
      <c r="AT67" s="670"/>
      <c r="AU67" s="67"/>
      <c r="AV67" s="425"/>
      <c r="AW67" s="425"/>
      <c r="AX67" s="425"/>
      <c r="AY67" s="425"/>
      <c r="AZ67" s="425"/>
      <c r="BA67" s="68"/>
    </row>
    <row r="68" spans="1:53" s="32" customFormat="1" ht="57.95" customHeight="1">
      <c r="A68" s="479">
        <v>0.125</v>
      </c>
      <c r="B68" s="480"/>
      <c r="C68" s="508">
        <v>0.16666666666666666</v>
      </c>
      <c r="D68" s="480"/>
      <c r="E68" s="494">
        <f t="shared" si="8"/>
        <v>0.99999999999999978</v>
      </c>
      <c r="F68" s="494"/>
      <c r="G68" s="426" t="s">
        <v>127</v>
      </c>
      <c r="H68" s="427"/>
      <c r="I68" s="420">
        <v>3</v>
      </c>
      <c r="J68" s="420"/>
      <c r="K68" s="420">
        <v>1</v>
      </c>
      <c r="L68" s="420"/>
      <c r="M68" s="421" t="s">
        <v>707</v>
      </c>
      <c r="N68" s="421"/>
      <c r="O68" s="421"/>
      <c r="P68" s="421"/>
      <c r="Q68" s="421"/>
      <c r="R68" s="528"/>
      <c r="S68" s="498" t="s">
        <v>970</v>
      </c>
      <c r="T68" s="499"/>
      <c r="U68" s="499"/>
      <c r="V68" s="499"/>
      <c r="W68" s="499"/>
      <c r="X68" s="499"/>
      <c r="Y68" s="499"/>
      <c r="Z68" s="499"/>
      <c r="AA68" s="499"/>
      <c r="AB68" s="499"/>
      <c r="AC68" s="499"/>
      <c r="AD68" s="499"/>
      <c r="AE68" s="499"/>
      <c r="AF68" s="499"/>
      <c r="AG68" s="499"/>
      <c r="AH68" s="499"/>
      <c r="AI68" s="499"/>
      <c r="AJ68" s="499"/>
      <c r="AK68" s="499"/>
      <c r="AL68" s="499"/>
      <c r="AM68" s="500"/>
      <c r="AN68" s="483"/>
      <c r="AO68" s="414"/>
      <c r="AP68" s="150"/>
      <c r="AQ68" s="149"/>
      <c r="AR68" s="501"/>
      <c r="AS68" s="501"/>
      <c r="AT68" s="501"/>
      <c r="AU68" s="67"/>
      <c r="AV68" s="425"/>
      <c r="AW68" s="425"/>
      <c r="AX68" s="425"/>
      <c r="AY68" s="425"/>
      <c r="AZ68" s="425"/>
      <c r="BA68" s="68"/>
    </row>
    <row r="69" spans="1:53" s="32" customFormat="1" ht="57.75" customHeight="1">
      <c r="A69" s="479">
        <v>0.16666666666666666</v>
      </c>
      <c r="B69" s="480"/>
      <c r="C69" s="508">
        <v>0.22916666666666666</v>
      </c>
      <c r="D69" s="480"/>
      <c r="E69" s="494">
        <f t="shared" si="8"/>
        <v>1.5</v>
      </c>
      <c r="F69" s="494"/>
      <c r="G69" s="426" t="s">
        <v>127</v>
      </c>
      <c r="H69" s="427"/>
      <c r="I69" s="420">
        <v>2</v>
      </c>
      <c r="J69" s="420"/>
      <c r="K69" s="420">
        <v>1</v>
      </c>
      <c r="L69" s="420"/>
      <c r="M69" s="421" t="s">
        <v>707</v>
      </c>
      <c r="N69" s="421"/>
      <c r="O69" s="421"/>
      <c r="P69" s="421"/>
      <c r="Q69" s="421"/>
      <c r="R69" s="421"/>
      <c r="S69" s="498" t="s">
        <v>999</v>
      </c>
      <c r="T69" s="499"/>
      <c r="U69" s="499"/>
      <c r="V69" s="499"/>
      <c r="W69" s="499"/>
      <c r="X69" s="499"/>
      <c r="Y69" s="499"/>
      <c r="Z69" s="499"/>
      <c r="AA69" s="499"/>
      <c r="AB69" s="499"/>
      <c r="AC69" s="499"/>
      <c r="AD69" s="499"/>
      <c r="AE69" s="499"/>
      <c r="AF69" s="499"/>
      <c r="AG69" s="499"/>
      <c r="AH69" s="499"/>
      <c r="AI69" s="499"/>
      <c r="AJ69" s="499"/>
      <c r="AK69" s="499"/>
      <c r="AL69" s="499"/>
      <c r="AM69" s="500"/>
      <c r="AN69" s="414"/>
      <c r="AO69" s="414"/>
      <c r="AP69" s="138"/>
      <c r="AQ69" s="137"/>
      <c r="AR69" s="501"/>
      <c r="AS69" s="501"/>
      <c r="AT69" s="501"/>
      <c r="AU69" s="67"/>
      <c r="AV69" s="425"/>
      <c r="AW69" s="425"/>
      <c r="AX69" s="425"/>
      <c r="AY69" s="425"/>
      <c r="AZ69" s="425"/>
      <c r="BA69" s="68"/>
    </row>
    <row r="70" spans="1:53" s="80" customFormat="1" ht="57.95" customHeight="1">
      <c r="A70" s="479">
        <v>0.22916666666666666</v>
      </c>
      <c r="B70" s="480"/>
      <c r="C70" s="508">
        <v>0.25</v>
      </c>
      <c r="D70" s="480"/>
      <c r="E70" s="494">
        <f t="shared" si="8"/>
        <v>0.50000000000000022</v>
      </c>
      <c r="F70" s="494"/>
      <c r="G70" s="420" t="s">
        <v>127</v>
      </c>
      <c r="H70" s="420"/>
      <c r="I70" s="420">
        <v>3</v>
      </c>
      <c r="J70" s="420"/>
      <c r="K70" s="420">
        <v>1</v>
      </c>
      <c r="L70" s="420"/>
      <c r="M70" s="421" t="s">
        <v>707</v>
      </c>
      <c r="N70" s="421"/>
      <c r="O70" s="421"/>
      <c r="P70" s="502"/>
      <c r="Q70" s="502"/>
      <c r="R70" s="502"/>
      <c r="S70" s="498" t="s">
        <v>970</v>
      </c>
      <c r="T70" s="499"/>
      <c r="U70" s="499"/>
      <c r="V70" s="499"/>
      <c r="W70" s="499"/>
      <c r="X70" s="499"/>
      <c r="Y70" s="499"/>
      <c r="Z70" s="499"/>
      <c r="AA70" s="499"/>
      <c r="AB70" s="499"/>
      <c r="AC70" s="499"/>
      <c r="AD70" s="499"/>
      <c r="AE70" s="499"/>
      <c r="AF70" s="499"/>
      <c r="AG70" s="499"/>
      <c r="AH70" s="499"/>
      <c r="AI70" s="499"/>
      <c r="AJ70" s="499"/>
      <c r="AK70" s="499"/>
      <c r="AL70" s="499"/>
      <c r="AM70" s="500"/>
      <c r="AN70" s="414"/>
      <c r="AO70" s="414"/>
      <c r="AP70" s="138"/>
      <c r="AQ70" s="137"/>
      <c r="AR70" s="501"/>
      <c r="AS70" s="501"/>
      <c r="AT70" s="501"/>
      <c r="AU70" s="79"/>
      <c r="AV70" s="425"/>
      <c r="AW70" s="425"/>
      <c r="AX70" s="425"/>
      <c r="AY70" s="425"/>
      <c r="AZ70" s="425"/>
      <c r="BA70" s="68"/>
    </row>
    <row r="71" spans="1:53" s="80" customFormat="1" ht="57.95" customHeight="1">
      <c r="A71" s="479"/>
      <c r="B71" s="480"/>
      <c r="C71" s="508"/>
      <c r="D71" s="480"/>
      <c r="E71" s="494" t="str">
        <f t="shared" ref="E71" si="9">IF((MOD(C71,1)-MOD(A71,1))*86400/3600&gt;0,(MOD(C71,1)-MOD(A71,1))*86400/3600, IF((MOD(C71,1)-MOD(A71,1))*86400/3600&lt;0,(MOD(C71,1)-MOD(A71,1))*86400/3600+24,""))</f>
        <v/>
      </c>
      <c r="F71" s="494"/>
      <c r="G71" s="426"/>
      <c r="H71" s="427"/>
      <c r="I71" s="420"/>
      <c r="J71" s="420"/>
      <c r="K71" s="420"/>
      <c r="L71" s="420"/>
      <c r="M71" s="421"/>
      <c r="N71" s="421"/>
      <c r="O71" s="421"/>
      <c r="P71" s="502"/>
      <c r="Q71" s="502"/>
      <c r="R71" s="502"/>
      <c r="S71" s="498" t="s">
        <v>989</v>
      </c>
      <c r="T71" s="499"/>
      <c r="U71" s="499"/>
      <c r="V71" s="499"/>
      <c r="W71" s="499"/>
      <c r="X71" s="499"/>
      <c r="Y71" s="499"/>
      <c r="Z71" s="499"/>
      <c r="AA71" s="499"/>
      <c r="AB71" s="499"/>
      <c r="AC71" s="499"/>
      <c r="AD71" s="499"/>
      <c r="AE71" s="499"/>
      <c r="AF71" s="499"/>
      <c r="AG71" s="499"/>
      <c r="AH71" s="499"/>
      <c r="AI71" s="499"/>
      <c r="AJ71" s="499"/>
      <c r="AK71" s="499"/>
      <c r="AL71" s="499"/>
      <c r="AM71" s="500"/>
      <c r="AN71" s="414"/>
      <c r="AO71" s="414"/>
      <c r="AP71" s="138"/>
      <c r="AQ71" s="137"/>
      <c r="AR71" s="414"/>
      <c r="AS71" s="414"/>
      <c r="AT71" s="414"/>
      <c r="AU71" s="79"/>
      <c r="AV71" s="425"/>
      <c r="AW71" s="425"/>
      <c r="AX71" s="425"/>
      <c r="AY71" s="425"/>
      <c r="AZ71" s="425"/>
      <c r="BA71" s="68"/>
    </row>
    <row r="72" spans="1:53" s="80" customFormat="1" ht="57.95" customHeight="1">
      <c r="A72" s="479"/>
      <c r="B72" s="480"/>
      <c r="C72" s="508"/>
      <c r="D72" s="480"/>
      <c r="E72" s="494" t="str">
        <f t="shared" si="8"/>
        <v/>
      </c>
      <c r="F72" s="494"/>
      <c r="G72" s="426"/>
      <c r="H72" s="427"/>
      <c r="I72" s="420"/>
      <c r="J72" s="420"/>
      <c r="K72" s="420"/>
      <c r="L72" s="420"/>
      <c r="M72" s="421"/>
      <c r="N72" s="421"/>
      <c r="O72" s="421"/>
      <c r="P72" s="324"/>
      <c r="Q72" s="324"/>
      <c r="R72" s="324"/>
      <c r="S72" s="498"/>
      <c r="T72" s="499"/>
      <c r="U72" s="499"/>
      <c r="V72" s="499"/>
      <c r="W72" s="499"/>
      <c r="X72" s="499"/>
      <c r="Y72" s="499"/>
      <c r="Z72" s="499"/>
      <c r="AA72" s="499"/>
      <c r="AB72" s="499"/>
      <c r="AC72" s="499"/>
      <c r="AD72" s="499"/>
      <c r="AE72" s="499"/>
      <c r="AF72" s="499"/>
      <c r="AG72" s="499"/>
      <c r="AH72" s="499"/>
      <c r="AI72" s="499"/>
      <c r="AJ72" s="499"/>
      <c r="AK72" s="499"/>
      <c r="AL72" s="499"/>
      <c r="AM72" s="500"/>
      <c r="AN72" s="414"/>
      <c r="AO72" s="414"/>
      <c r="AP72" s="138"/>
      <c r="AQ72" s="137"/>
      <c r="AR72" s="414"/>
      <c r="AS72" s="414"/>
      <c r="AT72" s="414"/>
      <c r="AU72" s="79"/>
      <c r="AV72" s="425"/>
      <c r="AW72" s="425"/>
      <c r="AX72" s="425"/>
      <c r="AY72" s="425"/>
      <c r="AZ72" s="425"/>
      <c r="BA72" s="68"/>
    </row>
    <row r="73" spans="1:53" s="80" customFormat="1" ht="57.95" customHeight="1">
      <c r="A73" s="479"/>
      <c r="B73" s="480"/>
      <c r="C73" s="508"/>
      <c r="D73" s="480"/>
      <c r="E73" s="494" t="str">
        <f t="shared" ref="E73" si="10">IF((MOD(C73,1)-MOD(A73,1))*86400/3600&gt;0,(MOD(C73,1)-MOD(A73,1))*86400/3600, IF((MOD(C73,1)-MOD(A73,1))*86400/3600&lt;0,(MOD(C73,1)-MOD(A73,1))*86400/3600+24,""))</f>
        <v/>
      </c>
      <c r="F73" s="494"/>
      <c r="G73" s="426"/>
      <c r="H73" s="427"/>
      <c r="I73" s="420"/>
      <c r="J73" s="420"/>
      <c r="K73" s="420"/>
      <c r="L73" s="420"/>
      <c r="M73" s="421"/>
      <c r="N73" s="421"/>
      <c r="O73" s="421"/>
      <c r="P73" s="421"/>
      <c r="Q73" s="421"/>
      <c r="R73" s="421"/>
      <c r="S73" s="510"/>
      <c r="T73" s="510"/>
      <c r="U73" s="510"/>
      <c r="V73" s="510"/>
      <c r="W73" s="510"/>
      <c r="X73" s="510"/>
      <c r="Y73" s="510"/>
      <c r="Z73" s="510"/>
      <c r="AA73" s="510"/>
      <c r="AB73" s="510"/>
      <c r="AC73" s="510"/>
      <c r="AD73" s="510"/>
      <c r="AE73" s="510"/>
      <c r="AF73" s="510"/>
      <c r="AG73" s="510"/>
      <c r="AH73" s="510"/>
      <c r="AI73" s="510"/>
      <c r="AJ73" s="510"/>
      <c r="AK73" s="510"/>
      <c r="AL73" s="510"/>
      <c r="AM73" s="510"/>
      <c r="AN73" s="482"/>
      <c r="AO73" s="483"/>
      <c r="AP73" s="138"/>
      <c r="AQ73" s="138"/>
      <c r="AR73" s="414"/>
      <c r="AS73" s="414"/>
      <c r="AT73" s="414"/>
      <c r="AU73" s="79"/>
      <c r="AV73" s="425"/>
      <c r="AW73" s="425"/>
      <c r="AX73" s="425"/>
      <c r="AY73" s="425"/>
      <c r="AZ73" s="425"/>
      <c r="BA73" s="68"/>
    </row>
    <row r="74" spans="1:53" ht="57.95" customHeight="1">
      <c r="A74" s="479"/>
      <c r="B74" s="480"/>
      <c r="C74" s="508"/>
      <c r="D74" s="480"/>
      <c r="E74" s="494" t="str">
        <f t="shared" si="8"/>
        <v/>
      </c>
      <c r="F74" s="494"/>
      <c r="G74" s="426"/>
      <c r="H74" s="427"/>
      <c r="I74" s="420"/>
      <c r="J74" s="420"/>
      <c r="K74" s="420"/>
      <c r="L74" s="420"/>
      <c r="M74" s="421"/>
      <c r="N74" s="421"/>
      <c r="O74" s="421"/>
      <c r="P74" s="421"/>
      <c r="Q74" s="421"/>
      <c r="R74" s="421"/>
      <c r="S74" s="511"/>
      <c r="T74" s="512"/>
      <c r="U74" s="512"/>
      <c r="V74" s="512"/>
      <c r="W74" s="512"/>
      <c r="X74" s="512"/>
      <c r="Y74" s="512"/>
      <c r="Z74" s="512"/>
      <c r="AA74" s="512"/>
      <c r="AB74" s="512"/>
      <c r="AC74" s="512"/>
      <c r="AD74" s="512"/>
      <c r="AE74" s="512"/>
      <c r="AF74" s="512"/>
      <c r="AG74" s="512"/>
      <c r="AH74" s="512"/>
      <c r="AI74" s="512"/>
      <c r="AJ74" s="512"/>
      <c r="AK74" s="512"/>
      <c r="AL74" s="512"/>
      <c r="AM74" s="513"/>
      <c r="AN74" s="482"/>
      <c r="AO74" s="483"/>
      <c r="AP74" s="138"/>
      <c r="AQ74" s="138"/>
      <c r="AR74" s="414"/>
      <c r="AS74" s="414"/>
      <c r="AT74" s="414"/>
      <c r="AU74" s="67"/>
      <c r="AV74" s="425"/>
      <c r="AW74" s="425"/>
      <c r="AX74" s="425"/>
      <c r="AY74" s="425"/>
      <c r="AZ74" s="425"/>
      <c r="BA74" s="68"/>
    </row>
    <row r="75" spans="1:53" ht="57.95" customHeight="1">
      <c r="A75" s="497"/>
      <c r="B75" s="496"/>
      <c r="C75" s="495"/>
      <c r="D75" s="496"/>
      <c r="E75" s="494" t="str">
        <f t="shared" si="8"/>
        <v/>
      </c>
      <c r="F75" s="494"/>
      <c r="G75" s="426"/>
      <c r="H75" s="427"/>
      <c r="I75" s="420"/>
      <c r="J75" s="420"/>
      <c r="K75" s="420"/>
      <c r="L75" s="420"/>
      <c r="M75" s="421"/>
      <c r="N75" s="421"/>
      <c r="O75" s="421"/>
      <c r="P75" s="502"/>
      <c r="Q75" s="502"/>
      <c r="R75" s="502"/>
      <c r="S75" s="510"/>
      <c r="T75" s="510"/>
      <c r="U75" s="510"/>
      <c r="V75" s="510"/>
      <c r="W75" s="510"/>
      <c r="X75" s="510"/>
      <c r="Y75" s="510"/>
      <c r="Z75" s="510"/>
      <c r="AA75" s="510"/>
      <c r="AB75" s="510"/>
      <c r="AC75" s="510"/>
      <c r="AD75" s="510"/>
      <c r="AE75" s="510"/>
      <c r="AF75" s="510"/>
      <c r="AG75" s="510"/>
      <c r="AH75" s="510"/>
      <c r="AI75" s="510"/>
      <c r="AJ75" s="510"/>
      <c r="AK75" s="510"/>
      <c r="AL75" s="510"/>
      <c r="AM75" s="510"/>
      <c r="AN75" s="414"/>
      <c r="AO75" s="414"/>
      <c r="AP75" s="138"/>
      <c r="AQ75" s="138"/>
      <c r="AR75" s="481"/>
      <c r="AS75" s="481"/>
      <c r="AT75" s="481"/>
      <c r="AU75" s="67"/>
      <c r="AV75" s="425"/>
      <c r="AW75" s="425"/>
      <c r="AX75" s="425"/>
      <c r="AY75" s="425"/>
      <c r="AZ75" s="425"/>
      <c r="BA75" s="68"/>
    </row>
    <row r="76" spans="1:53" ht="57.95" customHeight="1">
      <c r="A76" s="497"/>
      <c r="B76" s="496"/>
      <c r="C76" s="495"/>
      <c r="D76" s="496"/>
      <c r="E76" s="494" t="str">
        <f t="shared" si="8"/>
        <v/>
      </c>
      <c r="F76" s="494"/>
      <c r="G76" s="426"/>
      <c r="H76" s="427"/>
      <c r="I76" s="420"/>
      <c r="J76" s="420"/>
      <c r="K76" s="420"/>
      <c r="L76" s="420"/>
      <c r="M76" s="421"/>
      <c r="N76" s="421"/>
      <c r="O76" s="421"/>
      <c r="P76" s="421"/>
      <c r="Q76" s="421"/>
      <c r="R76" s="421"/>
      <c r="S76" s="488" t="s">
        <v>787</v>
      </c>
      <c r="T76" s="489"/>
      <c r="U76" s="489"/>
      <c r="V76" s="489"/>
      <c r="W76" s="489"/>
      <c r="X76" s="489"/>
      <c r="Y76" s="489"/>
      <c r="Z76" s="489"/>
      <c r="AA76" s="489"/>
      <c r="AB76" s="489"/>
      <c r="AC76" s="489"/>
      <c r="AD76" s="489"/>
      <c r="AE76" s="489"/>
      <c r="AF76" s="489"/>
      <c r="AG76" s="489"/>
      <c r="AH76" s="489"/>
      <c r="AI76" s="489"/>
      <c r="AJ76" s="489"/>
      <c r="AK76" s="489"/>
      <c r="AL76" s="489"/>
      <c r="AM76" s="489"/>
      <c r="AN76" s="414"/>
      <c r="AO76" s="414"/>
      <c r="AP76" s="106"/>
      <c r="AQ76" s="106"/>
      <c r="AR76" s="414"/>
      <c r="AS76" s="414"/>
      <c r="AT76" s="414"/>
      <c r="AU76" s="67"/>
      <c r="AV76" s="425"/>
      <c r="AW76" s="425"/>
      <c r="AX76" s="425"/>
      <c r="AY76" s="425"/>
      <c r="AZ76" s="425"/>
      <c r="BA76" s="68"/>
    </row>
    <row r="77" spans="1:53" ht="35.25" customHeight="1">
      <c r="A77" s="418" t="s">
        <v>95</v>
      </c>
      <c r="B77" s="419"/>
      <c r="C77" s="419"/>
      <c r="D77" s="419"/>
      <c r="E77" s="419">
        <f>SUM(E65:F76)</f>
        <v>6.5</v>
      </c>
      <c r="F77" s="419"/>
      <c r="G77" s="422"/>
      <c r="H77" s="423"/>
      <c r="I77" s="423"/>
      <c r="J77" s="423"/>
      <c r="K77" s="423"/>
      <c r="L77" s="423"/>
      <c r="M77" s="423"/>
      <c r="N77" s="423"/>
      <c r="O77" s="423"/>
      <c r="P77" s="423"/>
      <c r="Q77" s="423"/>
      <c r="R77" s="423"/>
      <c r="S77" s="423"/>
      <c r="T77" s="423"/>
      <c r="U77" s="423"/>
      <c r="V77" s="423"/>
      <c r="W77" s="423"/>
      <c r="X77" s="423"/>
      <c r="Y77" s="423"/>
      <c r="Z77" s="423"/>
      <c r="AA77" s="423"/>
      <c r="AB77" s="423"/>
      <c r="AC77" s="423"/>
      <c r="AD77" s="423"/>
      <c r="AE77" s="423"/>
      <c r="AF77" s="423"/>
      <c r="AG77" s="423"/>
      <c r="AH77" s="423"/>
      <c r="AI77" s="423"/>
      <c r="AJ77" s="423"/>
      <c r="AK77" s="423"/>
      <c r="AL77" s="423"/>
      <c r="AM77" s="423"/>
      <c r="AN77" s="423"/>
      <c r="AO77" s="423"/>
      <c r="AP77" s="423"/>
      <c r="AQ77" s="423"/>
      <c r="AR77" s="423"/>
      <c r="AS77" s="423"/>
      <c r="AT77" s="423"/>
      <c r="AU77" s="424"/>
      <c r="AV77" s="419" t="s">
        <v>95</v>
      </c>
      <c r="AW77" s="419"/>
      <c r="AX77" s="419"/>
      <c r="AY77" s="419"/>
      <c r="AZ77" s="419"/>
      <c r="BA77" s="55">
        <f>E77</f>
        <v>6.5</v>
      </c>
    </row>
    <row r="78" spans="1:53" ht="69.75" customHeight="1">
      <c r="A78" s="490" t="s">
        <v>732</v>
      </c>
      <c r="B78" s="491"/>
      <c r="C78" s="491"/>
      <c r="D78" s="491"/>
      <c r="E78" s="491"/>
      <c r="F78" s="491"/>
      <c r="G78" s="491"/>
      <c r="H78" s="491"/>
      <c r="I78" s="491"/>
      <c r="J78" s="491"/>
      <c r="K78" s="491"/>
      <c r="L78" s="491"/>
      <c r="M78" s="491"/>
      <c r="N78" s="491"/>
      <c r="O78" s="491"/>
      <c r="P78" s="491"/>
      <c r="Q78" s="491"/>
      <c r="R78" s="491"/>
      <c r="S78" s="484"/>
      <c r="T78" s="484"/>
      <c r="U78" s="484"/>
      <c r="V78" s="484"/>
      <c r="W78" s="484"/>
      <c r="X78" s="484"/>
      <c r="Y78" s="484"/>
      <c r="Z78" s="484"/>
      <c r="AA78" s="484"/>
      <c r="AB78" s="484"/>
      <c r="AC78" s="484"/>
      <c r="AD78" s="484"/>
      <c r="AE78" s="484"/>
      <c r="AF78" s="484"/>
      <c r="AG78" s="484"/>
      <c r="AH78" s="484"/>
      <c r="AI78" s="484"/>
      <c r="AJ78" s="484"/>
      <c r="AK78" s="484"/>
      <c r="AL78" s="484"/>
      <c r="AM78" s="484"/>
      <c r="AN78" s="484"/>
      <c r="AO78" s="484"/>
      <c r="AP78" s="484"/>
      <c r="AQ78" s="484"/>
      <c r="AR78" s="484"/>
      <c r="AS78" s="484"/>
      <c r="AT78" s="484"/>
      <c r="AU78" s="484"/>
      <c r="AV78" s="484"/>
      <c r="AW78" s="484"/>
      <c r="AX78" s="484"/>
      <c r="AY78" s="484"/>
      <c r="AZ78" s="484"/>
      <c r="BA78" s="485"/>
    </row>
    <row r="79" spans="1:53" ht="6.75" customHeight="1" thickBot="1">
      <c r="A79" s="492"/>
      <c r="B79" s="493"/>
      <c r="C79" s="493"/>
      <c r="D79" s="493"/>
      <c r="E79" s="493"/>
      <c r="F79" s="493"/>
      <c r="G79" s="493"/>
      <c r="H79" s="493"/>
      <c r="I79" s="493"/>
      <c r="J79" s="493"/>
      <c r="K79" s="493"/>
      <c r="L79" s="493"/>
      <c r="M79" s="493"/>
      <c r="N79" s="493"/>
      <c r="O79" s="493"/>
      <c r="P79" s="493"/>
      <c r="Q79" s="493"/>
      <c r="R79" s="493"/>
      <c r="S79" s="486"/>
      <c r="T79" s="486"/>
      <c r="U79" s="486"/>
      <c r="V79" s="486"/>
      <c r="W79" s="486"/>
      <c r="X79" s="486"/>
      <c r="Y79" s="486"/>
      <c r="Z79" s="486"/>
      <c r="AA79" s="486"/>
      <c r="AB79" s="486"/>
      <c r="AC79" s="486"/>
      <c r="AD79" s="486"/>
      <c r="AE79" s="486"/>
      <c r="AF79" s="486"/>
      <c r="AG79" s="486"/>
      <c r="AH79" s="486"/>
      <c r="AI79" s="486"/>
      <c r="AJ79" s="486"/>
      <c r="AK79" s="486"/>
      <c r="AL79" s="486"/>
      <c r="AM79" s="486"/>
      <c r="AN79" s="486"/>
      <c r="AO79" s="486"/>
      <c r="AP79" s="486"/>
      <c r="AQ79" s="486"/>
      <c r="AR79" s="486"/>
      <c r="AS79" s="486"/>
      <c r="AT79" s="486"/>
      <c r="AU79" s="486"/>
      <c r="AV79" s="486"/>
      <c r="AW79" s="486"/>
      <c r="AX79" s="486"/>
      <c r="AY79" s="486"/>
      <c r="AZ79" s="486"/>
      <c r="BA79" s="487"/>
    </row>
    <row r="80" spans="1:53" ht="54.75" customHeight="1" thickTop="1">
      <c r="A80" s="674" t="s">
        <v>64</v>
      </c>
      <c r="B80" s="675"/>
      <c r="C80" s="675"/>
      <c r="D80" s="675"/>
      <c r="E80" s="675"/>
      <c r="F80" s="675"/>
      <c r="G80" s="675"/>
      <c r="H80" s="675"/>
      <c r="I80" s="675"/>
      <c r="J80" s="675"/>
      <c r="K80" s="675"/>
      <c r="L80" s="675"/>
      <c r="M80" s="675"/>
      <c r="N80" s="675"/>
      <c r="O80" s="675"/>
      <c r="P80" s="675"/>
      <c r="Q80" s="675"/>
      <c r="R80" s="675"/>
      <c r="S80" s="675"/>
      <c r="T80" s="675"/>
      <c r="U80" s="675"/>
      <c r="V80" s="675"/>
      <c r="W80" s="675"/>
      <c r="X80" s="675"/>
      <c r="Y80" s="675"/>
      <c r="Z80" s="675"/>
      <c r="AA80" s="675"/>
      <c r="AB80" s="675"/>
      <c r="AC80" s="675"/>
      <c r="AD80" s="675"/>
      <c r="AE80" s="675"/>
      <c r="AF80" s="675"/>
      <c r="AG80" s="675"/>
      <c r="AH80" s="675"/>
      <c r="AI80" s="675"/>
      <c r="AJ80" s="675"/>
      <c r="AK80" s="675"/>
      <c r="AL80" s="675"/>
      <c r="AM80" s="675"/>
      <c r="AN80" s="675"/>
      <c r="AO80" s="675"/>
      <c r="AP80" s="675"/>
      <c r="AQ80" s="675"/>
      <c r="AR80" s="675"/>
      <c r="AS80" s="675"/>
      <c r="AT80" s="675"/>
      <c r="AU80" s="675"/>
      <c r="AV80" s="675"/>
      <c r="AW80" s="675"/>
      <c r="AX80" s="675"/>
      <c r="AY80" s="675"/>
      <c r="AZ80" s="675"/>
      <c r="BA80" s="676"/>
    </row>
    <row r="81" spans="1:53" ht="45" customHeight="1">
      <c r="A81" s="415" t="s">
        <v>940</v>
      </c>
      <c r="B81" s="416"/>
      <c r="C81" s="416"/>
      <c r="D81" s="416"/>
      <c r="E81" s="416"/>
      <c r="F81" s="416"/>
      <c r="G81" s="416"/>
      <c r="H81" s="416"/>
      <c r="I81" s="416"/>
      <c r="J81" s="416"/>
      <c r="K81" s="416"/>
      <c r="L81" s="416"/>
      <c r="M81" s="416"/>
      <c r="N81" s="416"/>
      <c r="O81" s="416"/>
      <c r="P81" s="416"/>
      <c r="Q81" s="416"/>
      <c r="R81" s="416"/>
      <c r="S81" s="416"/>
      <c r="T81" s="416"/>
      <c r="U81" s="416"/>
      <c r="V81" s="416"/>
      <c r="W81" s="416"/>
      <c r="X81" s="416"/>
      <c r="Y81" s="416"/>
      <c r="Z81" s="416"/>
      <c r="AA81" s="416"/>
      <c r="AB81" s="416"/>
      <c r="AC81" s="416"/>
      <c r="AD81" s="416"/>
      <c r="AE81" s="416"/>
      <c r="AF81" s="416"/>
      <c r="AG81" s="416"/>
      <c r="AH81" s="416"/>
      <c r="AI81" s="416"/>
      <c r="AJ81" s="416"/>
      <c r="AK81" s="416"/>
      <c r="AL81" s="416"/>
      <c r="AM81" s="416"/>
      <c r="AN81" s="416"/>
      <c r="AO81" s="416"/>
      <c r="AP81" s="416"/>
      <c r="AQ81" s="416"/>
      <c r="AR81" s="416"/>
      <c r="AS81" s="416"/>
      <c r="AT81" s="416"/>
      <c r="AU81" s="416"/>
      <c r="AV81" s="416"/>
      <c r="AW81" s="416"/>
      <c r="AX81" s="416"/>
      <c r="AY81" s="416"/>
      <c r="AZ81" s="416"/>
      <c r="BA81" s="417"/>
    </row>
    <row r="82" spans="1:53" ht="45" customHeight="1">
      <c r="A82" s="415" t="s">
        <v>936</v>
      </c>
      <c r="B82" s="416"/>
      <c r="C82" s="416"/>
      <c r="D82" s="416"/>
      <c r="E82" s="416"/>
      <c r="F82" s="416"/>
      <c r="G82" s="416"/>
      <c r="H82" s="416"/>
      <c r="I82" s="416"/>
      <c r="J82" s="416"/>
      <c r="K82" s="416"/>
      <c r="L82" s="416"/>
      <c r="M82" s="416"/>
      <c r="N82" s="416"/>
      <c r="O82" s="416"/>
      <c r="P82" s="416"/>
      <c r="Q82" s="416"/>
      <c r="R82" s="416"/>
      <c r="S82" s="416"/>
      <c r="T82" s="416"/>
      <c r="U82" s="416"/>
      <c r="V82" s="416"/>
      <c r="W82" s="416"/>
      <c r="X82" s="416"/>
      <c r="Y82" s="416"/>
      <c r="Z82" s="416"/>
      <c r="AA82" s="416"/>
      <c r="AB82" s="416"/>
      <c r="AC82" s="416"/>
      <c r="AD82" s="416"/>
      <c r="AE82" s="416"/>
      <c r="AF82" s="416"/>
      <c r="AG82" s="416"/>
      <c r="AH82" s="416"/>
      <c r="AI82" s="416"/>
      <c r="AJ82" s="416"/>
      <c r="AK82" s="416"/>
      <c r="AL82" s="416"/>
      <c r="AM82" s="416"/>
      <c r="AN82" s="416"/>
      <c r="AO82" s="416"/>
      <c r="AP82" s="416"/>
      <c r="AQ82" s="416"/>
      <c r="AR82" s="416"/>
      <c r="AS82" s="416"/>
      <c r="AT82" s="416"/>
      <c r="AU82" s="416"/>
      <c r="AV82" s="416"/>
      <c r="AW82" s="416"/>
      <c r="AX82" s="416"/>
      <c r="AY82" s="416"/>
      <c r="AZ82" s="416"/>
      <c r="BA82" s="417"/>
    </row>
    <row r="83" spans="1:53" ht="45" customHeight="1">
      <c r="A83" s="415" t="s">
        <v>848</v>
      </c>
      <c r="B83" s="416"/>
      <c r="C83" s="416"/>
      <c r="D83" s="416"/>
      <c r="E83" s="416"/>
      <c r="F83" s="416"/>
      <c r="G83" s="416"/>
      <c r="H83" s="416"/>
      <c r="I83" s="416"/>
      <c r="J83" s="416"/>
      <c r="K83" s="416"/>
      <c r="L83" s="416"/>
      <c r="M83" s="416"/>
      <c r="N83" s="416"/>
      <c r="O83" s="416"/>
      <c r="P83" s="416"/>
      <c r="Q83" s="416"/>
      <c r="R83" s="416"/>
      <c r="S83" s="416"/>
      <c r="T83" s="416"/>
      <c r="U83" s="416"/>
      <c r="V83" s="416"/>
      <c r="W83" s="416"/>
      <c r="X83" s="416"/>
      <c r="Y83" s="416"/>
      <c r="Z83" s="416"/>
      <c r="AA83" s="416"/>
      <c r="AB83" s="416"/>
      <c r="AC83" s="416"/>
      <c r="AD83" s="416"/>
      <c r="AE83" s="416"/>
      <c r="AF83" s="416"/>
      <c r="AG83" s="416"/>
      <c r="AH83" s="416"/>
      <c r="AI83" s="416"/>
      <c r="AJ83" s="416"/>
      <c r="AK83" s="416"/>
      <c r="AL83" s="416"/>
      <c r="AM83" s="416"/>
      <c r="AN83" s="416"/>
      <c r="AO83" s="416"/>
      <c r="AP83" s="416"/>
      <c r="AQ83" s="416"/>
      <c r="AR83" s="416"/>
      <c r="AS83" s="416"/>
      <c r="AT83" s="416"/>
      <c r="AU83" s="416"/>
      <c r="AV83" s="416"/>
      <c r="AW83" s="416"/>
      <c r="AX83" s="416"/>
      <c r="AY83" s="416"/>
      <c r="AZ83" s="416"/>
      <c r="BA83" s="417"/>
    </row>
    <row r="84" spans="1:53" ht="45" customHeight="1">
      <c r="A84" s="415" t="s">
        <v>842</v>
      </c>
      <c r="B84" s="416"/>
      <c r="C84" s="416"/>
      <c r="D84" s="416"/>
      <c r="E84" s="416"/>
      <c r="F84" s="416"/>
      <c r="G84" s="416"/>
      <c r="H84" s="416"/>
      <c r="I84" s="416"/>
      <c r="J84" s="416"/>
      <c r="K84" s="416"/>
      <c r="L84" s="416"/>
      <c r="M84" s="416"/>
      <c r="N84" s="416"/>
      <c r="O84" s="416"/>
      <c r="P84" s="416"/>
      <c r="Q84" s="416"/>
      <c r="R84" s="416"/>
      <c r="S84" s="416"/>
      <c r="T84" s="416"/>
      <c r="U84" s="416"/>
      <c r="V84" s="416"/>
      <c r="W84" s="416"/>
      <c r="X84" s="416"/>
      <c r="Y84" s="416"/>
      <c r="Z84" s="416"/>
      <c r="AA84" s="416"/>
      <c r="AB84" s="416"/>
      <c r="AC84" s="416"/>
      <c r="AD84" s="416"/>
      <c r="AE84" s="416"/>
      <c r="AF84" s="416"/>
      <c r="AG84" s="416"/>
      <c r="AH84" s="416"/>
      <c r="AI84" s="416"/>
      <c r="AJ84" s="416"/>
      <c r="AK84" s="416"/>
      <c r="AL84" s="416"/>
      <c r="AM84" s="416"/>
      <c r="AN84" s="416"/>
      <c r="AO84" s="416"/>
      <c r="AP84" s="416"/>
      <c r="AQ84" s="416"/>
      <c r="AR84" s="416"/>
      <c r="AS84" s="416"/>
      <c r="AT84" s="416"/>
      <c r="AU84" s="416"/>
      <c r="AV84" s="416"/>
      <c r="AW84" s="416"/>
      <c r="AX84" s="416"/>
      <c r="AY84" s="416"/>
      <c r="AZ84" s="416"/>
      <c r="BA84" s="417"/>
    </row>
    <row r="85" spans="1:53" ht="45" customHeight="1">
      <c r="A85" s="415" t="s">
        <v>840</v>
      </c>
      <c r="B85" s="416"/>
      <c r="C85" s="416"/>
      <c r="D85" s="416"/>
      <c r="E85" s="416"/>
      <c r="F85" s="416"/>
      <c r="G85" s="416"/>
      <c r="H85" s="416"/>
      <c r="I85" s="416"/>
      <c r="J85" s="416"/>
      <c r="K85" s="416"/>
      <c r="L85" s="416"/>
      <c r="M85" s="416"/>
      <c r="N85" s="416"/>
      <c r="O85" s="416"/>
      <c r="P85" s="416"/>
      <c r="Q85" s="416"/>
      <c r="R85" s="416"/>
      <c r="S85" s="416"/>
      <c r="T85" s="416"/>
      <c r="U85" s="416"/>
      <c r="V85" s="416"/>
      <c r="W85" s="416"/>
      <c r="X85" s="416"/>
      <c r="Y85" s="416"/>
      <c r="Z85" s="416"/>
      <c r="AA85" s="416"/>
      <c r="AB85" s="416"/>
      <c r="AC85" s="416"/>
      <c r="AD85" s="416"/>
      <c r="AE85" s="416"/>
      <c r="AF85" s="416"/>
      <c r="AG85" s="416"/>
      <c r="AH85" s="416"/>
      <c r="AI85" s="416"/>
      <c r="AJ85" s="416"/>
      <c r="AK85" s="416"/>
      <c r="AL85" s="416"/>
      <c r="AM85" s="416"/>
      <c r="AN85" s="416"/>
      <c r="AO85" s="416"/>
      <c r="AP85" s="416"/>
      <c r="AQ85" s="416"/>
      <c r="AR85" s="416"/>
      <c r="AS85" s="416"/>
      <c r="AT85" s="416"/>
      <c r="AU85" s="416"/>
      <c r="AV85" s="416"/>
      <c r="AW85" s="416"/>
      <c r="AX85" s="416"/>
      <c r="AY85" s="416"/>
      <c r="AZ85" s="416"/>
      <c r="BA85" s="417"/>
    </row>
    <row r="86" spans="1:53" ht="45" customHeight="1">
      <c r="A86" s="671" t="s">
        <v>841</v>
      </c>
      <c r="B86" s="672"/>
      <c r="C86" s="672"/>
      <c r="D86" s="672"/>
      <c r="E86" s="672"/>
      <c r="F86" s="672"/>
      <c r="G86" s="672"/>
      <c r="H86" s="672"/>
      <c r="I86" s="672"/>
      <c r="J86" s="672"/>
      <c r="K86" s="672"/>
      <c r="L86" s="672"/>
      <c r="M86" s="672"/>
      <c r="N86" s="672"/>
      <c r="O86" s="672"/>
      <c r="P86" s="672"/>
      <c r="Q86" s="672"/>
      <c r="R86" s="672"/>
      <c r="S86" s="672"/>
      <c r="T86" s="672"/>
      <c r="U86" s="672"/>
      <c r="V86" s="672"/>
      <c r="W86" s="672"/>
      <c r="X86" s="672"/>
      <c r="Y86" s="672"/>
      <c r="Z86" s="672"/>
      <c r="AA86" s="672"/>
      <c r="AB86" s="672"/>
      <c r="AC86" s="672"/>
      <c r="AD86" s="672"/>
      <c r="AE86" s="672"/>
      <c r="AF86" s="672"/>
      <c r="AG86" s="672"/>
      <c r="AH86" s="672"/>
      <c r="AI86" s="672"/>
      <c r="AJ86" s="672"/>
      <c r="AK86" s="672"/>
      <c r="AL86" s="672"/>
      <c r="AM86" s="672"/>
      <c r="AN86" s="672"/>
      <c r="AO86" s="672"/>
      <c r="AP86" s="672"/>
      <c r="AQ86" s="672"/>
      <c r="AR86" s="672"/>
      <c r="AS86" s="672"/>
      <c r="AT86" s="672"/>
      <c r="AU86" s="672"/>
      <c r="AV86" s="672"/>
      <c r="AW86" s="672"/>
      <c r="AX86" s="672"/>
      <c r="AY86" s="672"/>
      <c r="AZ86" s="672"/>
      <c r="BA86" s="673"/>
    </row>
    <row r="87" spans="1:53" ht="45" customHeight="1" thickBot="1">
      <c r="A87" s="428" t="s">
        <v>839</v>
      </c>
      <c r="B87" s="429"/>
      <c r="C87" s="429"/>
      <c r="D87" s="429"/>
      <c r="E87" s="429"/>
      <c r="F87" s="429"/>
      <c r="G87" s="429"/>
      <c r="H87" s="429"/>
      <c r="I87" s="429"/>
      <c r="J87" s="429"/>
      <c r="K87" s="429"/>
      <c r="L87" s="429"/>
      <c r="M87" s="429"/>
      <c r="N87" s="429"/>
      <c r="O87" s="429"/>
      <c r="P87" s="429"/>
      <c r="Q87" s="429"/>
      <c r="R87" s="429"/>
      <c r="S87" s="429"/>
      <c r="T87" s="429"/>
      <c r="U87" s="429"/>
      <c r="V87" s="429"/>
      <c r="W87" s="429"/>
      <c r="X87" s="429"/>
      <c r="Y87" s="429"/>
      <c r="Z87" s="429"/>
      <c r="AA87" s="429"/>
      <c r="AB87" s="429"/>
      <c r="AC87" s="429"/>
      <c r="AD87" s="429"/>
      <c r="AE87" s="429"/>
      <c r="AF87" s="429"/>
      <c r="AG87" s="429"/>
      <c r="AH87" s="429"/>
      <c r="AI87" s="429"/>
      <c r="AJ87" s="429"/>
      <c r="AK87" s="429"/>
      <c r="AL87" s="429"/>
      <c r="AM87" s="429"/>
      <c r="AN87" s="429"/>
      <c r="AO87" s="429"/>
      <c r="AP87" s="429"/>
      <c r="AQ87" s="429"/>
      <c r="AR87" s="429"/>
      <c r="AS87" s="429"/>
      <c r="AT87" s="429"/>
      <c r="AU87" s="429"/>
      <c r="AV87" s="429"/>
      <c r="AW87" s="429"/>
      <c r="AX87" s="429"/>
      <c r="AY87" s="429"/>
      <c r="AZ87" s="429"/>
      <c r="BA87" s="430"/>
    </row>
    <row r="88" spans="1:53" ht="39.950000000000003" customHeight="1">
      <c r="A88" s="440" t="s">
        <v>17</v>
      </c>
      <c r="B88" s="441"/>
      <c r="C88" s="442"/>
      <c r="D88" s="449" t="s">
        <v>973</v>
      </c>
      <c r="E88" s="450"/>
      <c r="F88" s="450"/>
      <c r="G88" s="450"/>
      <c r="H88" s="450"/>
      <c r="I88" s="450"/>
      <c r="J88" s="450"/>
      <c r="K88" s="450"/>
      <c r="L88" s="450"/>
      <c r="M88" s="450"/>
      <c r="N88" s="450"/>
      <c r="O88" s="450"/>
      <c r="P88" s="450"/>
      <c r="Q88" s="450"/>
      <c r="R88" s="450"/>
      <c r="S88" s="450"/>
      <c r="T88" s="450"/>
      <c r="U88" s="450"/>
      <c r="V88" s="450"/>
      <c r="W88" s="450"/>
      <c r="X88" s="450"/>
      <c r="Y88" s="450"/>
      <c r="Z88" s="450"/>
      <c r="AA88" s="450"/>
      <c r="AB88" s="450"/>
      <c r="AC88" s="450"/>
      <c r="AD88" s="451"/>
      <c r="AE88" s="467" t="s">
        <v>15</v>
      </c>
      <c r="AF88" s="476"/>
      <c r="AG88" s="450"/>
      <c r="AH88" s="450"/>
      <c r="AI88" s="450"/>
      <c r="AJ88" s="450"/>
      <c r="AK88" s="450"/>
      <c r="AL88" s="450"/>
      <c r="AM88" s="450"/>
      <c r="AN88" s="450"/>
      <c r="AO88" s="450"/>
      <c r="AP88" s="450"/>
      <c r="AQ88" s="450"/>
      <c r="AR88" s="450"/>
      <c r="AS88" s="450"/>
      <c r="AT88" s="450"/>
      <c r="AU88" s="450"/>
      <c r="AV88" s="450"/>
      <c r="AW88" s="450"/>
      <c r="AX88" s="450"/>
      <c r="AY88" s="450"/>
      <c r="AZ88" s="450"/>
      <c r="BA88" s="451"/>
    </row>
    <row r="89" spans="1:53" s="80" customFormat="1" ht="39.950000000000003" customHeight="1">
      <c r="A89" s="443"/>
      <c r="B89" s="444"/>
      <c r="C89" s="445"/>
      <c r="D89" s="452"/>
      <c r="E89" s="453"/>
      <c r="F89" s="453"/>
      <c r="G89" s="453"/>
      <c r="H89" s="453"/>
      <c r="I89" s="453"/>
      <c r="J89" s="453"/>
      <c r="K89" s="453"/>
      <c r="L89" s="453"/>
      <c r="M89" s="453"/>
      <c r="N89" s="453"/>
      <c r="O89" s="453"/>
      <c r="P89" s="453"/>
      <c r="Q89" s="453"/>
      <c r="R89" s="453"/>
      <c r="S89" s="453"/>
      <c r="T89" s="453"/>
      <c r="U89" s="453"/>
      <c r="V89" s="453"/>
      <c r="W89" s="453"/>
      <c r="X89" s="453"/>
      <c r="Y89" s="453"/>
      <c r="Z89" s="453"/>
      <c r="AA89" s="453"/>
      <c r="AB89" s="453"/>
      <c r="AC89" s="453"/>
      <c r="AD89" s="454"/>
      <c r="AE89" s="468"/>
      <c r="AF89" s="477"/>
      <c r="AG89" s="453"/>
      <c r="AH89" s="453"/>
      <c r="AI89" s="453"/>
      <c r="AJ89" s="453"/>
      <c r="AK89" s="453"/>
      <c r="AL89" s="453"/>
      <c r="AM89" s="453"/>
      <c r="AN89" s="453"/>
      <c r="AO89" s="453"/>
      <c r="AP89" s="453"/>
      <c r="AQ89" s="453"/>
      <c r="AR89" s="453"/>
      <c r="AS89" s="453"/>
      <c r="AT89" s="453"/>
      <c r="AU89" s="453"/>
      <c r="AV89" s="453"/>
      <c r="AW89" s="453"/>
      <c r="AX89" s="453"/>
      <c r="AY89" s="453"/>
      <c r="AZ89" s="453"/>
      <c r="BA89" s="454"/>
    </row>
    <row r="90" spans="1:53" s="80" customFormat="1" ht="39.950000000000003" customHeight="1">
      <c r="A90" s="443"/>
      <c r="B90" s="444"/>
      <c r="C90" s="445"/>
      <c r="D90" s="452"/>
      <c r="E90" s="453"/>
      <c r="F90" s="453"/>
      <c r="G90" s="453"/>
      <c r="H90" s="453"/>
      <c r="I90" s="453"/>
      <c r="J90" s="453"/>
      <c r="K90" s="453"/>
      <c r="L90" s="453"/>
      <c r="M90" s="453"/>
      <c r="N90" s="453"/>
      <c r="O90" s="453"/>
      <c r="P90" s="453"/>
      <c r="Q90" s="453"/>
      <c r="R90" s="453"/>
      <c r="S90" s="453"/>
      <c r="T90" s="453"/>
      <c r="U90" s="453"/>
      <c r="V90" s="453"/>
      <c r="W90" s="453"/>
      <c r="X90" s="453"/>
      <c r="Y90" s="453"/>
      <c r="Z90" s="453"/>
      <c r="AA90" s="453"/>
      <c r="AB90" s="453"/>
      <c r="AC90" s="453"/>
      <c r="AD90" s="454"/>
      <c r="AE90" s="468"/>
      <c r="AF90" s="477"/>
      <c r="AG90" s="453"/>
      <c r="AH90" s="453"/>
      <c r="AI90" s="453"/>
      <c r="AJ90" s="453"/>
      <c r="AK90" s="453"/>
      <c r="AL90" s="453"/>
      <c r="AM90" s="453"/>
      <c r="AN90" s="453"/>
      <c r="AO90" s="453"/>
      <c r="AP90" s="453"/>
      <c r="AQ90" s="453"/>
      <c r="AR90" s="453"/>
      <c r="AS90" s="453"/>
      <c r="AT90" s="453"/>
      <c r="AU90" s="453"/>
      <c r="AV90" s="453"/>
      <c r="AW90" s="453"/>
      <c r="AX90" s="453"/>
      <c r="AY90" s="453"/>
      <c r="AZ90" s="453"/>
      <c r="BA90" s="454"/>
    </row>
    <row r="91" spans="1:53" s="80" customFormat="1" ht="39.950000000000003" customHeight="1">
      <c r="A91" s="443"/>
      <c r="B91" s="444"/>
      <c r="C91" s="445"/>
      <c r="D91" s="452"/>
      <c r="E91" s="453"/>
      <c r="F91" s="453"/>
      <c r="G91" s="453"/>
      <c r="H91" s="453"/>
      <c r="I91" s="453"/>
      <c r="J91" s="453"/>
      <c r="K91" s="453"/>
      <c r="L91" s="453"/>
      <c r="M91" s="453"/>
      <c r="N91" s="453"/>
      <c r="O91" s="453"/>
      <c r="P91" s="453"/>
      <c r="Q91" s="453"/>
      <c r="R91" s="453"/>
      <c r="S91" s="453"/>
      <c r="T91" s="453"/>
      <c r="U91" s="453"/>
      <c r="V91" s="453"/>
      <c r="W91" s="453"/>
      <c r="X91" s="453"/>
      <c r="Y91" s="453"/>
      <c r="Z91" s="453"/>
      <c r="AA91" s="453"/>
      <c r="AB91" s="453"/>
      <c r="AC91" s="453"/>
      <c r="AD91" s="454"/>
      <c r="AE91" s="468"/>
      <c r="AF91" s="477"/>
      <c r="AG91" s="453"/>
      <c r="AH91" s="453"/>
      <c r="AI91" s="453"/>
      <c r="AJ91" s="453"/>
      <c r="AK91" s="453"/>
      <c r="AL91" s="453"/>
      <c r="AM91" s="453"/>
      <c r="AN91" s="453"/>
      <c r="AO91" s="453"/>
      <c r="AP91" s="453"/>
      <c r="AQ91" s="453"/>
      <c r="AR91" s="453"/>
      <c r="AS91" s="453"/>
      <c r="AT91" s="453"/>
      <c r="AU91" s="453"/>
      <c r="AV91" s="453"/>
      <c r="AW91" s="453"/>
      <c r="AX91" s="453"/>
      <c r="AY91" s="453"/>
      <c r="AZ91" s="453"/>
      <c r="BA91" s="454"/>
    </row>
    <row r="92" spans="1:53" ht="39.950000000000003" customHeight="1">
      <c r="A92" s="443"/>
      <c r="B92" s="444"/>
      <c r="C92" s="445"/>
      <c r="D92" s="452"/>
      <c r="E92" s="453"/>
      <c r="F92" s="453"/>
      <c r="G92" s="453"/>
      <c r="H92" s="453"/>
      <c r="I92" s="453"/>
      <c r="J92" s="453"/>
      <c r="K92" s="453"/>
      <c r="L92" s="453"/>
      <c r="M92" s="453"/>
      <c r="N92" s="453"/>
      <c r="O92" s="453"/>
      <c r="P92" s="453"/>
      <c r="Q92" s="453"/>
      <c r="R92" s="453"/>
      <c r="S92" s="453"/>
      <c r="T92" s="453"/>
      <c r="U92" s="453"/>
      <c r="V92" s="453"/>
      <c r="W92" s="453"/>
      <c r="X92" s="453"/>
      <c r="Y92" s="453"/>
      <c r="Z92" s="453"/>
      <c r="AA92" s="453"/>
      <c r="AB92" s="453"/>
      <c r="AC92" s="453"/>
      <c r="AD92" s="454"/>
      <c r="AE92" s="468"/>
      <c r="AF92" s="477"/>
      <c r="AG92" s="453"/>
      <c r="AH92" s="453"/>
      <c r="AI92" s="453"/>
      <c r="AJ92" s="453"/>
      <c r="AK92" s="453"/>
      <c r="AL92" s="453"/>
      <c r="AM92" s="453"/>
      <c r="AN92" s="453"/>
      <c r="AO92" s="453"/>
      <c r="AP92" s="453"/>
      <c r="AQ92" s="453"/>
      <c r="AR92" s="453"/>
      <c r="AS92" s="453"/>
      <c r="AT92" s="453"/>
      <c r="AU92" s="453"/>
      <c r="AV92" s="453"/>
      <c r="AW92" s="453"/>
      <c r="AX92" s="453"/>
      <c r="AY92" s="453"/>
      <c r="AZ92" s="453"/>
      <c r="BA92" s="454"/>
    </row>
    <row r="93" spans="1:53" ht="39.950000000000003" customHeight="1">
      <c r="A93" s="443"/>
      <c r="B93" s="444"/>
      <c r="C93" s="445"/>
      <c r="D93" s="452"/>
      <c r="E93" s="453"/>
      <c r="F93" s="453"/>
      <c r="G93" s="453"/>
      <c r="H93" s="453"/>
      <c r="I93" s="453"/>
      <c r="J93" s="453"/>
      <c r="K93" s="453"/>
      <c r="L93" s="453"/>
      <c r="M93" s="453"/>
      <c r="N93" s="453"/>
      <c r="O93" s="453"/>
      <c r="P93" s="453"/>
      <c r="Q93" s="453"/>
      <c r="R93" s="453"/>
      <c r="S93" s="453"/>
      <c r="T93" s="453"/>
      <c r="U93" s="453"/>
      <c r="V93" s="453"/>
      <c r="W93" s="453"/>
      <c r="X93" s="453"/>
      <c r="Y93" s="453"/>
      <c r="Z93" s="453"/>
      <c r="AA93" s="453"/>
      <c r="AB93" s="453"/>
      <c r="AC93" s="453"/>
      <c r="AD93" s="454"/>
      <c r="AE93" s="468"/>
      <c r="AF93" s="477"/>
      <c r="AG93" s="453"/>
      <c r="AH93" s="453"/>
      <c r="AI93" s="453"/>
      <c r="AJ93" s="453"/>
      <c r="AK93" s="453"/>
      <c r="AL93" s="453"/>
      <c r="AM93" s="453"/>
      <c r="AN93" s="453"/>
      <c r="AO93" s="453"/>
      <c r="AP93" s="453"/>
      <c r="AQ93" s="453"/>
      <c r="AR93" s="453"/>
      <c r="AS93" s="453"/>
      <c r="AT93" s="453"/>
      <c r="AU93" s="453"/>
      <c r="AV93" s="453"/>
      <c r="AW93" s="453"/>
      <c r="AX93" s="453"/>
      <c r="AY93" s="453"/>
      <c r="AZ93" s="453"/>
      <c r="BA93" s="454"/>
    </row>
    <row r="94" spans="1:53" s="29" customFormat="1" ht="39.950000000000003" customHeight="1" thickBot="1">
      <c r="A94" s="446"/>
      <c r="B94" s="447"/>
      <c r="C94" s="448"/>
      <c r="D94" s="455"/>
      <c r="E94" s="456"/>
      <c r="F94" s="456"/>
      <c r="G94" s="456"/>
      <c r="H94" s="456"/>
      <c r="I94" s="456"/>
      <c r="J94" s="456"/>
      <c r="K94" s="456"/>
      <c r="L94" s="456"/>
      <c r="M94" s="456"/>
      <c r="N94" s="456"/>
      <c r="O94" s="456"/>
      <c r="P94" s="456"/>
      <c r="Q94" s="456"/>
      <c r="R94" s="456"/>
      <c r="S94" s="456"/>
      <c r="T94" s="456"/>
      <c r="U94" s="456"/>
      <c r="V94" s="456"/>
      <c r="W94" s="456"/>
      <c r="X94" s="456"/>
      <c r="Y94" s="456"/>
      <c r="Z94" s="456"/>
      <c r="AA94" s="456"/>
      <c r="AB94" s="456"/>
      <c r="AC94" s="456"/>
      <c r="AD94" s="457"/>
      <c r="AE94" s="469"/>
      <c r="AF94" s="478"/>
      <c r="AG94" s="456"/>
      <c r="AH94" s="456"/>
      <c r="AI94" s="456"/>
      <c r="AJ94" s="456"/>
      <c r="AK94" s="456"/>
      <c r="AL94" s="456"/>
      <c r="AM94" s="456"/>
      <c r="AN94" s="456"/>
      <c r="AO94" s="456"/>
      <c r="AP94" s="456"/>
      <c r="AQ94" s="456"/>
      <c r="AR94" s="456"/>
      <c r="AS94" s="456"/>
      <c r="AT94" s="456"/>
      <c r="AU94" s="456"/>
      <c r="AV94" s="456"/>
      <c r="AW94" s="456"/>
      <c r="AX94" s="456"/>
      <c r="AY94" s="456"/>
      <c r="AZ94" s="456"/>
      <c r="BA94" s="457"/>
    </row>
    <row r="95" spans="1:53" s="29" customFormat="1" ht="39.950000000000003" customHeight="1">
      <c r="A95" s="431" t="s">
        <v>16</v>
      </c>
      <c r="B95" s="432"/>
      <c r="C95" s="433"/>
      <c r="D95" s="458"/>
      <c r="E95" s="459"/>
      <c r="F95" s="459"/>
      <c r="G95" s="459"/>
      <c r="H95" s="459"/>
      <c r="I95" s="459"/>
      <c r="J95" s="459"/>
      <c r="K95" s="459"/>
      <c r="L95" s="459"/>
      <c r="M95" s="459"/>
      <c r="N95" s="459"/>
      <c r="O95" s="459"/>
      <c r="P95" s="459"/>
      <c r="Q95" s="459"/>
      <c r="R95" s="459"/>
      <c r="S95" s="459"/>
      <c r="T95" s="459"/>
      <c r="U95" s="459"/>
      <c r="V95" s="459"/>
      <c r="W95" s="459"/>
      <c r="X95" s="459"/>
      <c r="Y95" s="459"/>
      <c r="Z95" s="459"/>
      <c r="AA95" s="459"/>
      <c r="AB95" s="459"/>
      <c r="AC95" s="459"/>
      <c r="AD95" s="460"/>
      <c r="AE95" s="411" t="s">
        <v>963</v>
      </c>
      <c r="AF95" s="470" t="s">
        <v>1001</v>
      </c>
      <c r="AG95" s="471"/>
      <c r="AH95" s="471"/>
      <c r="AI95" s="471"/>
      <c r="AJ95" s="471"/>
      <c r="AK95" s="471"/>
      <c r="AL95" s="471"/>
      <c r="AM95" s="471"/>
      <c r="AN95" s="471"/>
      <c r="AO95" s="471"/>
      <c r="AP95" s="471"/>
      <c r="AQ95" s="471"/>
      <c r="AR95" s="471"/>
      <c r="AS95" s="471"/>
      <c r="AT95" s="471"/>
      <c r="AU95" s="471"/>
      <c r="AV95" s="471"/>
      <c r="AW95" s="471"/>
      <c r="AX95" s="471"/>
      <c r="AY95" s="471"/>
      <c r="AZ95" s="471"/>
      <c r="BA95" s="472"/>
    </row>
    <row r="96" spans="1:53" ht="39.950000000000003" customHeight="1">
      <c r="A96" s="434"/>
      <c r="B96" s="435"/>
      <c r="C96" s="436"/>
      <c r="D96" s="461"/>
      <c r="E96" s="462"/>
      <c r="F96" s="462"/>
      <c r="G96" s="462"/>
      <c r="H96" s="462"/>
      <c r="I96" s="462"/>
      <c r="J96" s="462"/>
      <c r="K96" s="462"/>
      <c r="L96" s="462"/>
      <c r="M96" s="462"/>
      <c r="N96" s="462"/>
      <c r="O96" s="462"/>
      <c r="P96" s="462"/>
      <c r="Q96" s="462"/>
      <c r="R96" s="462"/>
      <c r="S96" s="462"/>
      <c r="T96" s="462"/>
      <c r="U96" s="462"/>
      <c r="V96" s="462"/>
      <c r="W96" s="462"/>
      <c r="X96" s="462"/>
      <c r="Y96" s="462"/>
      <c r="Z96" s="462"/>
      <c r="AA96" s="462"/>
      <c r="AB96" s="462"/>
      <c r="AC96" s="462"/>
      <c r="AD96" s="463"/>
      <c r="AE96" s="412"/>
      <c r="AF96" s="470"/>
      <c r="AG96" s="471"/>
      <c r="AH96" s="471"/>
      <c r="AI96" s="471"/>
      <c r="AJ96" s="471"/>
      <c r="AK96" s="471"/>
      <c r="AL96" s="471"/>
      <c r="AM96" s="471"/>
      <c r="AN96" s="471"/>
      <c r="AO96" s="471"/>
      <c r="AP96" s="471"/>
      <c r="AQ96" s="471"/>
      <c r="AR96" s="471"/>
      <c r="AS96" s="471"/>
      <c r="AT96" s="471"/>
      <c r="AU96" s="471"/>
      <c r="AV96" s="471"/>
      <c r="AW96" s="471"/>
      <c r="AX96" s="471"/>
      <c r="AY96" s="471"/>
      <c r="AZ96" s="471"/>
      <c r="BA96" s="472"/>
    </row>
    <row r="97" spans="1:53" s="80" customFormat="1" ht="39.950000000000003" customHeight="1">
      <c r="A97" s="434"/>
      <c r="B97" s="435"/>
      <c r="C97" s="436"/>
      <c r="D97" s="461"/>
      <c r="E97" s="462"/>
      <c r="F97" s="462"/>
      <c r="G97" s="462"/>
      <c r="H97" s="462"/>
      <c r="I97" s="462"/>
      <c r="J97" s="462"/>
      <c r="K97" s="462"/>
      <c r="L97" s="462"/>
      <c r="M97" s="462"/>
      <c r="N97" s="462"/>
      <c r="O97" s="462"/>
      <c r="P97" s="462"/>
      <c r="Q97" s="462"/>
      <c r="R97" s="462"/>
      <c r="S97" s="462"/>
      <c r="T97" s="462"/>
      <c r="U97" s="462"/>
      <c r="V97" s="462"/>
      <c r="W97" s="462"/>
      <c r="X97" s="462"/>
      <c r="Y97" s="462"/>
      <c r="Z97" s="462"/>
      <c r="AA97" s="462"/>
      <c r="AB97" s="462"/>
      <c r="AC97" s="462"/>
      <c r="AD97" s="463"/>
      <c r="AE97" s="412"/>
      <c r="AF97" s="470"/>
      <c r="AG97" s="471"/>
      <c r="AH97" s="471"/>
      <c r="AI97" s="471"/>
      <c r="AJ97" s="471"/>
      <c r="AK97" s="471"/>
      <c r="AL97" s="471"/>
      <c r="AM97" s="471"/>
      <c r="AN97" s="471"/>
      <c r="AO97" s="471"/>
      <c r="AP97" s="471"/>
      <c r="AQ97" s="471"/>
      <c r="AR97" s="471"/>
      <c r="AS97" s="471"/>
      <c r="AT97" s="471"/>
      <c r="AU97" s="471"/>
      <c r="AV97" s="471"/>
      <c r="AW97" s="471"/>
      <c r="AX97" s="471"/>
      <c r="AY97" s="471"/>
      <c r="AZ97" s="471"/>
      <c r="BA97" s="472"/>
    </row>
    <row r="98" spans="1:53" s="80" customFormat="1" ht="39.950000000000003" customHeight="1">
      <c r="A98" s="434"/>
      <c r="B98" s="435"/>
      <c r="C98" s="436"/>
      <c r="D98" s="461"/>
      <c r="E98" s="462"/>
      <c r="F98" s="462"/>
      <c r="G98" s="462"/>
      <c r="H98" s="462"/>
      <c r="I98" s="462"/>
      <c r="J98" s="462"/>
      <c r="K98" s="462"/>
      <c r="L98" s="462"/>
      <c r="M98" s="462"/>
      <c r="N98" s="462"/>
      <c r="O98" s="462"/>
      <c r="P98" s="462"/>
      <c r="Q98" s="462"/>
      <c r="R98" s="462"/>
      <c r="S98" s="462"/>
      <c r="T98" s="462"/>
      <c r="U98" s="462"/>
      <c r="V98" s="462"/>
      <c r="W98" s="462"/>
      <c r="X98" s="462"/>
      <c r="Y98" s="462"/>
      <c r="Z98" s="462"/>
      <c r="AA98" s="462"/>
      <c r="AB98" s="462"/>
      <c r="AC98" s="462"/>
      <c r="AD98" s="463"/>
      <c r="AE98" s="412"/>
      <c r="AF98" s="470"/>
      <c r="AG98" s="471"/>
      <c r="AH98" s="471"/>
      <c r="AI98" s="471"/>
      <c r="AJ98" s="471"/>
      <c r="AK98" s="471"/>
      <c r="AL98" s="471"/>
      <c r="AM98" s="471"/>
      <c r="AN98" s="471"/>
      <c r="AO98" s="471"/>
      <c r="AP98" s="471"/>
      <c r="AQ98" s="471"/>
      <c r="AR98" s="471"/>
      <c r="AS98" s="471"/>
      <c r="AT98" s="471"/>
      <c r="AU98" s="471"/>
      <c r="AV98" s="471"/>
      <c r="AW98" s="471"/>
      <c r="AX98" s="471"/>
      <c r="AY98" s="471"/>
      <c r="AZ98" s="471"/>
      <c r="BA98" s="472"/>
    </row>
    <row r="99" spans="1:53" s="80" customFormat="1" ht="39.950000000000003" customHeight="1">
      <c r="A99" s="434"/>
      <c r="B99" s="435"/>
      <c r="C99" s="436"/>
      <c r="D99" s="461"/>
      <c r="E99" s="462"/>
      <c r="F99" s="462"/>
      <c r="G99" s="462"/>
      <c r="H99" s="462"/>
      <c r="I99" s="462"/>
      <c r="J99" s="462"/>
      <c r="K99" s="462"/>
      <c r="L99" s="462"/>
      <c r="M99" s="462"/>
      <c r="N99" s="462"/>
      <c r="O99" s="462"/>
      <c r="P99" s="462"/>
      <c r="Q99" s="462"/>
      <c r="R99" s="462"/>
      <c r="S99" s="462"/>
      <c r="T99" s="462"/>
      <c r="U99" s="462"/>
      <c r="V99" s="462"/>
      <c r="W99" s="462"/>
      <c r="X99" s="462"/>
      <c r="Y99" s="462"/>
      <c r="Z99" s="462"/>
      <c r="AA99" s="462"/>
      <c r="AB99" s="462"/>
      <c r="AC99" s="462"/>
      <c r="AD99" s="463"/>
      <c r="AE99" s="412"/>
      <c r="AF99" s="470"/>
      <c r="AG99" s="471"/>
      <c r="AH99" s="471"/>
      <c r="AI99" s="471"/>
      <c r="AJ99" s="471"/>
      <c r="AK99" s="471"/>
      <c r="AL99" s="471"/>
      <c r="AM99" s="471"/>
      <c r="AN99" s="471"/>
      <c r="AO99" s="471"/>
      <c r="AP99" s="471"/>
      <c r="AQ99" s="471"/>
      <c r="AR99" s="471"/>
      <c r="AS99" s="471"/>
      <c r="AT99" s="471"/>
      <c r="AU99" s="471"/>
      <c r="AV99" s="471"/>
      <c r="AW99" s="471"/>
      <c r="AX99" s="471"/>
      <c r="AY99" s="471"/>
      <c r="AZ99" s="471"/>
      <c r="BA99" s="472"/>
    </row>
    <row r="100" spans="1:53" ht="39.950000000000003" customHeight="1">
      <c r="A100" s="434"/>
      <c r="B100" s="435"/>
      <c r="C100" s="436"/>
      <c r="D100" s="461"/>
      <c r="E100" s="462"/>
      <c r="F100" s="462"/>
      <c r="G100" s="462"/>
      <c r="H100" s="462"/>
      <c r="I100" s="462"/>
      <c r="J100" s="462"/>
      <c r="K100" s="462"/>
      <c r="L100" s="462"/>
      <c r="M100" s="462"/>
      <c r="N100" s="462"/>
      <c r="O100" s="462"/>
      <c r="P100" s="462"/>
      <c r="Q100" s="462"/>
      <c r="R100" s="462"/>
      <c r="S100" s="462"/>
      <c r="T100" s="462"/>
      <c r="U100" s="462"/>
      <c r="V100" s="462"/>
      <c r="W100" s="462"/>
      <c r="X100" s="462"/>
      <c r="Y100" s="462"/>
      <c r="Z100" s="462"/>
      <c r="AA100" s="462"/>
      <c r="AB100" s="462"/>
      <c r="AC100" s="462"/>
      <c r="AD100" s="463"/>
      <c r="AE100" s="412"/>
      <c r="AF100" s="470"/>
      <c r="AG100" s="471"/>
      <c r="AH100" s="471"/>
      <c r="AI100" s="471"/>
      <c r="AJ100" s="471"/>
      <c r="AK100" s="471"/>
      <c r="AL100" s="471"/>
      <c r="AM100" s="471"/>
      <c r="AN100" s="471"/>
      <c r="AO100" s="471"/>
      <c r="AP100" s="471"/>
      <c r="AQ100" s="471"/>
      <c r="AR100" s="471"/>
      <c r="AS100" s="471"/>
      <c r="AT100" s="471"/>
      <c r="AU100" s="471"/>
      <c r="AV100" s="471"/>
      <c r="AW100" s="471"/>
      <c r="AX100" s="471"/>
      <c r="AY100" s="471"/>
      <c r="AZ100" s="471"/>
      <c r="BA100" s="472"/>
    </row>
    <row r="101" spans="1:53" ht="39.950000000000003" customHeight="1">
      <c r="A101" s="434"/>
      <c r="B101" s="435"/>
      <c r="C101" s="436"/>
      <c r="D101" s="461"/>
      <c r="E101" s="462"/>
      <c r="F101" s="462"/>
      <c r="G101" s="462"/>
      <c r="H101" s="462"/>
      <c r="I101" s="462"/>
      <c r="J101" s="462"/>
      <c r="K101" s="462"/>
      <c r="L101" s="462"/>
      <c r="M101" s="462"/>
      <c r="N101" s="462"/>
      <c r="O101" s="462"/>
      <c r="P101" s="462"/>
      <c r="Q101" s="462"/>
      <c r="R101" s="462"/>
      <c r="S101" s="462"/>
      <c r="T101" s="462"/>
      <c r="U101" s="462"/>
      <c r="V101" s="462"/>
      <c r="W101" s="462"/>
      <c r="X101" s="462"/>
      <c r="Y101" s="462"/>
      <c r="Z101" s="462"/>
      <c r="AA101" s="462"/>
      <c r="AB101" s="462"/>
      <c r="AC101" s="462"/>
      <c r="AD101" s="463"/>
      <c r="AE101" s="412"/>
      <c r="AF101" s="470"/>
      <c r="AG101" s="471"/>
      <c r="AH101" s="471"/>
      <c r="AI101" s="471"/>
      <c r="AJ101" s="471"/>
      <c r="AK101" s="471"/>
      <c r="AL101" s="471"/>
      <c r="AM101" s="471"/>
      <c r="AN101" s="471"/>
      <c r="AO101" s="471"/>
      <c r="AP101" s="471"/>
      <c r="AQ101" s="471"/>
      <c r="AR101" s="471"/>
      <c r="AS101" s="471"/>
      <c r="AT101" s="471"/>
      <c r="AU101" s="471"/>
      <c r="AV101" s="471"/>
      <c r="AW101" s="471"/>
      <c r="AX101" s="471"/>
      <c r="AY101" s="471"/>
      <c r="AZ101" s="471"/>
      <c r="BA101" s="472"/>
    </row>
    <row r="102" spans="1:53" ht="39.950000000000003" customHeight="1" thickBot="1">
      <c r="A102" s="437"/>
      <c r="B102" s="438"/>
      <c r="C102" s="439"/>
      <c r="D102" s="464"/>
      <c r="E102" s="465"/>
      <c r="F102" s="465"/>
      <c r="G102" s="465"/>
      <c r="H102" s="465"/>
      <c r="I102" s="465"/>
      <c r="J102" s="465"/>
      <c r="K102" s="465"/>
      <c r="L102" s="465"/>
      <c r="M102" s="465"/>
      <c r="N102" s="465"/>
      <c r="O102" s="465"/>
      <c r="P102" s="465"/>
      <c r="Q102" s="465"/>
      <c r="R102" s="465"/>
      <c r="S102" s="465"/>
      <c r="T102" s="465"/>
      <c r="U102" s="465"/>
      <c r="V102" s="465"/>
      <c r="W102" s="465"/>
      <c r="X102" s="465"/>
      <c r="Y102" s="465"/>
      <c r="Z102" s="465"/>
      <c r="AA102" s="465"/>
      <c r="AB102" s="465"/>
      <c r="AC102" s="465"/>
      <c r="AD102" s="466"/>
      <c r="AE102" s="413"/>
      <c r="AF102" s="473"/>
      <c r="AG102" s="474"/>
      <c r="AH102" s="474"/>
      <c r="AI102" s="474"/>
      <c r="AJ102" s="474"/>
      <c r="AK102" s="474"/>
      <c r="AL102" s="474"/>
      <c r="AM102" s="474"/>
      <c r="AN102" s="474"/>
      <c r="AO102" s="474"/>
      <c r="AP102" s="474"/>
      <c r="AQ102" s="474"/>
      <c r="AR102" s="474"/>
      <c r="AS102" s="474"/>
      <c r="AT102" s="474"/>
      <c r="AU102" s="474"/>
      <c r="AV102" s="474"/>
      <c r="AW102" s="474"/>
      <c r="AX102" s="474"/>
      <c r="AY102" s="474"/>
      <c r="AZ102" s="474"/>
      <c r="BA102" s="475"/>
    </row>
    <row r="105" spans="1:53">
      <c r="W105" s="80"/>
    </row>
    <row r="109" spans="1:53">
      <c r="BA109" s="31"/>
    </row>
  </sheetData>
  <mergeCells count="830">
    <mergeCell ref="P65:R65"/>
    <mergeCell ref="AN65:AO65"/>
    <mergeCell ref="P61:R61"/>
    <mergeCell ref="A58:B58"/>
    <mergeCell ref="E63:F64"/>
    <mergeCell ref="C63:D64"/>
    <mergeCell ref="C60:D60"/>
    <mergeCell ref="E61:F61"/>
    <mergeCell ref="E62:F62"/>
    <mergeCell ref="A62:D62"/>
    <mergeCell ref="E59:F59"/>
    <mergeCell ref="C61:D61"/>
    <mergeCell ref="G59:H59"/>
    <mergeCell ref="A61:B61"/>
    <mergeCell ref="I58:J58"/>
    <mergeCell ref="K65:L65"/>
    <mergeCell ref="AV62:AZ62"/>
    <mergeCell ref="AR63:AT64"/>
    <mergeCell ref="AV65:AZ65"/>
    <mergeCell ref="AN66:AO66"/>
    <mergeCell ref="AV66:AZ66"/>
    <mergeCell ref="AV63:AZ64"/>
    <mergeCell ref="AU63:AU64"/>
    <mergeCell ref="AV60:AZ60"/>
    <mergeCell ref="AR60:AT60"/>
    <mergeCell ref="AV61:AZ61"/>
    <mergeCell ref="AN63:AQ63"/>
    <mergeCell ref="AR65:AT65"/>
    <mergeCell ref="C74:D74"/>
    <mergeCell ref="S75:AM75"/>
    <mergeCell ref="P75:R75"/>
    <mergeCell ref="S68:AM68"/>
    <mergeCell ref="AV72:AZ72"/>
    <mergeCell ref="AR68:AT68"/>
    <mergeCell ref="S69:AM69"/>
    <mergeCell ref="AN72:AO72"/>
    <mergeCell ref="AR72:AT72"/>
    <mergeCell ref="M70:O70"/>
    <mergeCell ref="AR71:AT71"/>
    <mergeCell ref="P69:R69"/>
    <mergeCell ref="AR70:AT70"/>
    <mergeCell ref="AR69:AT69"/>
    <mergeCell ref="G72:H72"/>
    <mergeCell ref="E72:F72"/>
    <mergeCell ref="M72:O72"/>
    <mergeCell ref="S74:AM74"/>
    <mergeCell ref="AN68:AO68"/>
    <mergeCell ref="M69:O69"/>
    <mergeCell ref="M75:O75"/>
    <mergeCell ref="M74:O74"/>
    <mergeCell ref="G74:H74"/>
    <mergeCell ref="C69:D69"/>
    <mergeCell ref="P67:R67"/>
    <mergeCell ref="BA63:BA64"/>
    <mergeCell ref="C70:D70"/>
    <mergeCell ref="M68:O68"/>
    <mergeCell ref="AN71:AO71"/>
    <mergeCell ref="E71:F71"/>
    <mergeCell ref="S73:AM73"/>
    <mergeCell ref="AN69:AO69"/>
    <mergeCell ref="I69:J69"/>
    <mergeCell ref="S70:AM70"/>
    <mergeCell ref="M71:O71"/>
    <mergeCell ref="S71:AM71"/>
    <mergeCell ref="AN70:AO70"/>
    <mergeCell ref="AV69:AZ69"/>
    <mergeCell ref="C65:D65"/>
    <mergeCell ref="G63:H64"/>
    <mergeCell ref="I63:J64"/>
    <mergeCell ref="AN64:AO64"/>
    <mergeCell ref="S63:AM64"/>
    <mergeCell ref="AV68:AZ68"/>
    <mergeCell ref="AV67:AZ67"/>
    <mergeCell ref="P68:R68"/>
    <mergeCell ref="S67:AM67"/>
    <mergeCell ref="AN67:AO67"/>
    <mergeCell ref="AR67:AT67"/>
    <mergeCell ref="P71:R71"/>
    <mergeCell ref="AV70:AZ70"/>
    <mergeCell ref="AV71:AZ71"/>
    <mergeCell ref="S72:AM72"/>
    <mergeCell ref="A86:BA86"/>
    <mergeCell ref="E76:F76"/>
    <mergeCell ref="A81:BA81"/>
    <mergeCell ref="I75:J75"/>
    <mergeCell ref="K73:L73"/>
    <mergeCell ref="K74:L74"/>
    <mergeCell ref="C73:D73"/>
    <mergeCell ref="E73:F73"/>
    <mergeCell ref="A82:BA82"/>
    <mergeCell ref="A80:BA80"/>
    <mergeCell ref="C75:D75"/>
    <mergeCell ref="AV75:AZ75"/>
    <mergeCell ref="AR73:AT73"/>
    <mergeCell ref="AV73:AZ73"/>
    <mergeCell ref="A74:B74"/>
    <mergeCell ref="A75:B75"/>
    <mergeCell ref="A67:B67"/>
    <mergeCell ref="M67:O67"/>
    <mergeCell ref="A72:B72"/>
    <mergeCell ref="K67:L67"/>
    <mergeCell ref="A71:B71"/>
    <mergeCell ref="C72:D72"/>
    <mergeCell ref="G68:H68"/>
    <mergeCell ref="G69:H69"/>
    <mergeCell ref="I67:J67"/>
    <mergeCell ref="K69:L69"/>
    <mergeCell ref="K68:L68"/>
    <mergeCell ref="E68:F68"/>
    <mergeCell ref="G67:H67"/>
    <mergeCell ref="I72:J72"/>
    <mergeCell ref="K72:L72"/>
    <mergeCell ref="G70:H70"/>
    <mergeCell ref="A69:B69"/>
    <mergeCell ref="A70:B70"/>
    <mergeCell ref="C71:D71"/>
    <mergeCell ref="C68:D68"/>
    <mergeCell ref="C67:D67"/>
    <mergeCell ref="E69:F69"/>
    <mergeCell ref="I68:J68"/>
    <mergeCell ref="I70:J70"/>
    <mergeCell ref="E70:F70"/>
    <mergeCell ref="E67:F67"/>
    <mergeCell ref="A68:B68"/>
    <mergeCell ref="C66:D66"/>
    <mergeCell ref="I65:J65"/>
    <mergeCell ref="I66:J66"/>
    <mergeCell ref="A60:B60"/>
    <mergeCell ref="E60:F60"/>
    <mergeCell ref="C59:D59"/>
    <mergeCell ref="A59:B59"/>
    <mergeCell ref="E65:F65"/>
    <mergeCell ref="E66:F66"/>
    <mergeCell ref="A65:B65"/>
    <mergeCell ref="A66:B66"/>
    <mergeCell ref="A63:B64"/>
    <mergeCell ref="I60:J60"/>
    <mergeCell ref="G65:H65"/>
    <mergeCell ref="G66:H66"/>
    <mergeCell ref="AN43:AO43"/>
    <mergeCell ref="S51:AM51"/>
    <mergeCell ref="AN52:AO52"/>
    <mergeCell ref="P59:R59"/>
    <mergeCell ref="M44:O44"/>
    <mergeCell ref="C46:D46"/>
    <mergeCell ref="I71:J71"/>
    <mergeCell ref="K71:L71"/>
    <mergeCell ref="I48:J48"/>
    <mergeCell ref="K52:L52"/>
    <mergeCell ref="K54:L54"/>
    <mergeCell ref="I53:J53"/>
    <mergeCell ref="AN57:AO57"/>
    <mergeCell ref="AN59:AO59"/>
    <mergeCell ref="S58:AM58"/>
    <mergeCell ref="K66:L66"/>
    <mergeCell ref="I59:J59"/>
    <mergeCell ref="M63:O64"/>
    <mergeCell ref="I51:J51"/>
    <mergeCell ref="P54:R54"/>
    <mergeCell ref="G49:H49"/>
    <mergeCell ref="I50:J50"/>
    <mergeCell ref="K50:L50"/>
    <mergeCell ref="S49:AM49"/>
    <mergeCell ref="S38:AM38"/>
    <mergeCell ref="AN48:AO48"/>
    <mergeCell ref="AN56:AO56"/>
    <mergeCell ref="P56:R56"/>
    <mergeCell ref="AR34:AT34"/>
    <mergeCell ref="AN40:AO40"/>
    <mergeCell ref="AN47:AO47"/>
    <mergeCell ref="S40:AM40"/>
    <mergeCell ref="S39:AM39"/>
    <mergeCell ref="AN46:AO46"/>
    <mergeCell ref="S43:AM43"/>
    <mergeCell ref="AN39:AO39"/>
    <mergeCell ref="AN41:AO41"/>
    <mergeCell ref="AN38:AO38"/>
    <mergeCell ref="AR39:AT39"/>
    <mergeCell ref="S47:AM47"/>
    <mergeCell ref="AR42:AT42"/>
    <mergeCell ref="AN50:AO50"/>
    <mergeCell ref="AN51:AO51"/>
    <mergeCell ref="S42:AM42"/>
    <mergeCell ref="P42:R42"/>
    <mergeCell ref="P43:R43"/>
    <mergeCell ref="S41:AM41"/>
    <mergeCell ref="AN54:AO54"/>
    <mergeCell ref="AN33:AO33"/>
    <mergeCell ref="P35:R35"/>
    <mergeCell ref="AV38:AZ38"/>
    <mergeCell ref="AR38:AT38"/>
    <mergeCell ref="AN44:AO44"/>
    <mergeCell ref="AR44:AT44"/>
    <mergeCell ref="S45:AM45"/>
    <mergeCell ref="AN45:AO45"/>
    <mergeCell ref="S46:AM46"/>
    <mergeCell ref="AN42:AO42"/>
    <mergeCell ref="AV37:AZ37"/>
    <mergeCell ref="AV46:AZ46"/>
    <mergeCell ref="AV39:AZ39"/>
    <mergeCell ref="AV40:AZ40"/>
    <mergeCell ref="AV42:AZ42"/>
    <mergeCell ref="AV44:AZ44"/>
    <mergeCell ref="AV45:AZ45"/>
    <mergeCell ref="AV41:AZ41"/>
    <mergeCell ref="AV43:AZ43"/>
    <mergeCell ref="AR43:AT43"/>
    <mergeCell ref="AR45:AT45"/>
    <mergeCell ref="AR46:AT46"/>
    <mergeCell ref="P41:R41"/>
    <mergeCell ref="P38:R38"/>
    <mergeCell ref="AN37:AO37"/>
    <mergeCell ref="AN36:AO36"/>
    <mergeCell ref="AN35:AO35"/>
    <mergeCell ref="AN34:AO34"/>
    <mergeCell ref="P34:R34"/>
    <mergeCell ref="M35:O35"/>
    <mergeCell ref="S36:AM36"/>
    <mergeCell ref="S35:AM35"/>
    <mergeCell ref="S34:AM34"/>
    <mergeCell ref="S37:AM37"/>
    <mergeCell ref="P36:R36"/>
    <mergeCell ref="BF60:BJ60"/>
    <mergeCell ref="G56:H56"/>
    <mergeCell ref="K48:L48"/>
    <mergeCell ref="K55:L55"/>
    <mergeCell ref="G50:H50"/>
    <mergeCell ref="M54:O54"/>
    <mergeCell ref="I55:J55"/>
    <mergeCell ref="P53:R53"/>
    <mergeCell ref="S57:AM57"/>
    <mergeCell ref="M52:O52"/>
    <mergeCell ref="P52:R52"/>
    <mergeCell ref="S52:AM52"/>
    <mergeCell ref="M51:O51"/>
    <mergeCell ref="S53:AM53"/>
    <mergeCell ref="AV59:AZ59"/>
    <mergeCell ref="AR59:AT59"/>
    <mergeCell ref="AN60:AO60"/>
    <mergeCell ref="K57:L57"/>
    <mergeCell ref="M57:O57"/>
    <mergeCell ref="P57:R57"/>
    <mergeCell ref="AV55:AZ55"/>
    <mergeCell ref="M49:O49"/>
    <mergeCell ref="P58:R58"/>
    <mergeCell ref="K59:L59"/>
    <mergeCell ref="BF46:BJ46"/>
    <mergeCell ref="AR54:AT54"/>
    <mergeCell ref="AR47:AT47"/>
    <mergeCell ref="AV49:AZ49"/>
    <mergeCell ref="AV50:AZ50"/>
    <mergeCell ref="AR52:AT52"/>
    <mergeCell ref="AR51:AT51"/>
    <mergeCell ref="AV51:AZ51"/>
    <mergeCell ref="AV47:AZ47"/>
    <mergeCell ref="BF49:BJ49"/>
    <mergeCell ref="BF50:BJ50"/>
    <mergeCell ref="AV53:AZ53"/>
    <mergeCell ref="AR50:AT50"/>
    <mergeCell ref="AR49:AT49"/>
    <mergeCell ref="AV52:AZ52"/>
    <mergeCell ref="AR53:AT53"/>
    <mergeCell ref="BF32:BJ32"/>
    <mergeCell ref="BF33:BJ33"/>
    <mergeCell ref="BF34:BJ34"/>
    <mergeCell ref="BF35:BJ35"/>
    <mergeCell ref="BF36:BJ36"/>
    <mergeCell ref="BF43:BJ43"/>
    <mergeCell ref="AR37:AT37"/>
    <mergeCell ref="BF47:BJ47"/>
    <mergeCell ref="BF48:BJ48"/>
    <mergeCell ref="AR40:AT40"/>
    <mergeCell ref="AR41:AT41"/>
    <mergeCell ref="AV48:AZ48"/>
    <mergeCell ref="AR48:AT48"/>
    <mergeCell ref="BF37:BJ37"/>
    <mergeCell ref="BF38:BJ38"/>
    <mergeCell ref="BF39:BJ39"/>
    <mergeCell ref="BF44:BJ44"/>
    <mergeCell ref="BF45:BJ45"/>
    <mergeCell ref="BF40:BJ40"/>
    <mergeCell ref="BF41:BJ41"/>
    <mergeCell ref="BF42:BJ42"/>
    <mergeCell ref="AV36:AZ36"/>
    <mergeCell ref="AV33:AZ33"/>
    <mergeCell ref="AR35:AT35"/>
    <mergeCell ref="A57:B57"/>
    <mergeCell ref="C57:D57"/>
    <mergeCell ref="A55:B55"/>
    <mergeCell ref="E54:F54"/>
    <mergeCell ref="C55:D55"/>
    <mergeCell ref="E55:F55"/>
    <mergeCell ref="C54:D54"/>
    <mergeCell ref="E52:F52"/>
    <mergeCell ref="C52:D52"/>
    <mergeCell ref="C53:D53"/>
    <mergeCell ref="A52:B52"/>
    <mergeCell ref="A53:B53"/>
    <mergeCell ref="A54:B54"/>
    <mergeCell ref="A56:B56"/>
    <mergeCell ref="C56:D56"/>
    <mergeCell ref="E56:F56"/>
    <mergeCell ref="A46:B46"/>
    <mergeCell ref="E46:F46"/>
    <mergeCell ref="C47:D47"/>
    <mergeCell ref="A51:B51"/>
    <mergeCell ref="E51:F51"/>
    <mergeCell ref="E48:F48"/>
    <mergeCell ref="E49:F49"/>
    <mergeCell ref="A50:B50"/>
    <mergeCell ref="C50:D50"/>
    <mergeCell ref="E50:F50"/>
    <mergeCell ref="A48:B48"/>
    <mergeCell ref="C48:D48"/>
    <mergeCell ref="C51:D51"/>
    <mergeCell ref="A47:B47"/>
    <mergeCell ref="A49:B49"/>
    <mergeCell ref="C49:D49"/>
    <mergeCell ref="BF55:BJ55"/>
    <mergeCell ref="BF58:BJ58"/>
    <mergeCell ref="BF56:BJ56"/>
    <mergeCell ref="AR56:AT56"/>
    <mergeCell ref="AR55:AT55"/>
    <mergeCell ref="AV54:AZ54"/>
    <mergeCell ref="BF51:BJ51"/>
    <mergeCell ref="K58:L58"/>
    <mergeCell ref="G58:H58"/>
    <mergeCell ref="K56:L56"/>
    <mergeCell ref="C58:D58"/>
    <mergeCell ref="AN49:AO49"/>
    <mergeCell ref="E53:F53"/>
    <mergeCell ref="G51:H51"/>
    <mergeCell ref="K53:L53"/>
    <mergeCell ref="M53:O53"/>
    <mergeCell ref="M55:O55"/>
    <mergeCell ref="M50:O50"/>
    <mergeCell ref="P49:R49"/>
    <mergeCell ref="P51:R51"/>
    <mergeCell ref="S50:AM50"/>
    <mergeCell ref="G54:H54"/>
    <mergeCell ref="G55:H55"/>
    <mergeCell ref="G52:H52"/>
    <mergeCell ref="G53:H53"/>
    <mergeCell ref="E58:F58"/>
    <mergeCell ref="A45:B45"/>
    <mergeCell ref="A43:B43"/>
    <mergeCell ref="P37:R37"/>
    <mergeCell ref="M33:O33"/>
    <mergeCell ref="A42:B42"/>
    <mergeCell ref="K37:L37"/>
    <mergeCell ref="BF59:BJ59"/>
    <mergeCell ref="BF53:BJ53"/>
    <mergeCell ref="BF52:BJ52"/>
    <mergeCell ref="P55:R55"/>
    <mergeCell ref="E57:F57"/>
    <mergeCell ref="G57:H57"/>
    <mergeCell ref="I57:J57"/>
    <mergeCell ref="AN53:AO53"/>
    <mergeCell ref="BF57:BJ57"/>
    <mergeCell ref="S54:AM54"/>
    <mergeCell ref="S55:AM55"/>
    <mergeCell ref="AN55:AO55"/>
    <mergeCell ref="S56:AM56"/>
    <mergeCell ref="AV58:AZ58"/>
    <mergeCell ref="AR57:AT57"/>
    <mergeCell ref="AV57:AZ57"/>
    <mergeCell ref="AV56:AZ56"/>
    <mergeCell ref="BF54:BJ54"/>
    <mergeCell ref="A41:B41"/>
    <mergeCell ref="C28:D28"/>
    <mergeCell ref="E28:F28"/>
    <mergeCell ref="E29:F29"/>
    <mergeCell ref="I36:J36"/>
    <mergeCell ref="G38:H38"/>
    <mergeCell ref="G40:H40"/>
    <mergeCell ref="G32:H32"/>
    <mergeCell ref="I37:J37"/>
    <mergeCell ref="G36:H36"/>
    <mergeCell ref="I31:J31"/>
    <mergeCell ref="C30:D30"/>
    <mergeCell ref="C37:D37"/>
    <mergeCell ref="G34:H34"/>
    <mergeCell ref="G35:H35"/>
    <mergeCell ref="G30:H30"/>
    <mergeCell ref="A33:B33"/>
    <mergeCell ref="A34:B34"/>
    <mergeCell ref="A28:B28"/>
    <mergeCell ref="A35:B35"/>
    <mergeCell ref="C38:D38"/>
    <mergeCell ref="E33:F33"/>
    <mergeCell ref="E30:F30"/>
    <mergeCell ref="I29:J29"/>
    <mergeCell ref="A39:B39"/>
    <mergeCell ref="E34:F34"/>
    <mergeCell ref="C32:D32"/>
    <mergeCell ref="E38:F38"/>
    <mergeCell ref="A36:B36"/>
    <mergeCell ref="E39:F39"/>
    <mergeCell ref="C39:D39"/>
    <mergeCell ref="C35:D35"/>
    <mergeCell ref="E36:F36"/>
    <mergeCell ref="E35:F35"/>
    <mergeCell ref="E37:F37"/>
    <mergeCell ref="C34:D34"/>
    <mergeCell ref="C26:D26"/>
    <mergeCell ref="A25:B25"/>
    <mergeCell ref="C27:D27"/>
    <mergeCell ref="A27:B27"/>
    <mergeCell ref="E24:F24"/>
    <mergeCell ref="I35:J35"/>
    <mergeCell ref="G37:H37"/>
    <mergeCell ref="A30:B30"/>
    <mergeCell ref="K32:L32"/>
    <mergeCell ref="I25:J25"/>
    <mergeCell ref="I30:J30"/>
    <mergeCell ref="G29:H29"/>
    <mergeCell ref="G28:H28"/>
    <mergeCell ref="C31:D31"/>
    <mergeCell ref="E32:F32"/>
    <mergeCell ref="A31:B31"/>
    <mergeCell ref="A29:B29"/>
    <mergeCell ref="A32:B32"/>
    <mergeCell ref="G31:H31"/>
    <mergeCell ref="E26:F26"/>
    <mergeCell ref="A26:B26"/>
    <mergeCell ref="C33:D33"/>
    <mergeCell ref="A37:B37"/>
    <mergeCell ref="E31:F31"/>
    <mergeCell ref="A11:E11"/>
    <mergeCell ref="F11:G11"/>
    <mergeCell ref="AV12:AW12"/>
    <mergeCell ref="L13:Q13"/>
    <mergeCell ref="L14:Q14"/>
    <mergeCell ref="AR12:AT12"/>
    <mergeCell ref="AN13:AO13"/>
    <mergeCell ref="H11:I11"/>
    <mergeCell ref="A12:E12"/>
    <mergeCell ref="H13:I13"/>
    <mergeCell ref="J14:K14"/>
    <mergeCell ref="F12:G12"/>
    <mergeCell ref="W11:AA11"/>
    <mergeCell ref="J13:K13"/>
    <mergeCell ref="A14:I14"/>
    <mergeCell ref="A13:E13"/>
    <mergeCell ref="F13:G13"/>
    <mergeCell ref="F9:G9"/>
    <mergeCell ref="I38:J38"/>
    <mergeCell ref="F10:G10"/>
    <mergeCell ref="R14:V14"/>
    <mergeCell ref="AI10:AL10"/>
    <mergeCell ref="AI11:AL11"/>
    <mergeCell ref="AI12:AL12"/>
    <mergeCell ref="R10:V10"/>
    <mergeCell ref="R11:V11"/>
    <mergeCell ref="R12:V12"/>
    <mergeCell ref="G33:H33"/>
    <mergeCell ref="I26:J26"/>
    <mergeCell ref="G25:H25"/>
    <mergeCell ref="H12:I12"/>
    <mergeCell ref="S26:AM26"/>
    <mergeCell ref="S27:AM27"/>
    <mergeCell ref="M31:O31"/>
    <mergeCell ref="K35:L35"/>
    <mergeCell ref="S22:AM23"/>
    <mergeCell ref="P27:R27"/>
    <mergeCell ref="I32:J32"/>
    <mergeCell ref="AB9:AE9"/>
    <mergeCell ref="R15:V15"/>
    <mergeCell ref="M15:Q15"/>
    <mergeCell ref="BF27:BJ27"/>
    <mergeCell ref="BF28:BJ28"/>
    <mergeCell ref="BF29:BJ29"/>
    <mergeCell ref="BF30:BJ30"/>
    <mergeCell ref="BF31:BJ31"/>
    <mergeCell ref="L11:Q11"/>
    <mergeCell ref="L12:Q12"/>
    <mergeCell ref="AV14:AW14"/>
    <mergeCell ref="BF26:BJ26"/>
    <mergeCell ref="AX12:AY12"/>
    <mergeCell ref="AV13:AW13"/>
    <mergeCell ref="AZ13:BA13"/>
    <mergeCell ref="AX13:AY13"/>
    <mergeCell ref="AX11:AY11"/>
    <mergeCell ref="AZ11:BA11"/>
    <mergeCell ref="AV11:AW11"/>
    <mergeCell ref="AB11:AE11"/>
    <mergeCell ref="AX14:AY14"/>
    <mergeCell ref="AN11:AO11"/>
    <mergeCell ref="AR11:AT11"/>
    <mergeCell ref="AI13:AL13"/>
    <mergeCell ref="AB13:AE13"/>
    <mergeCell ref="AV24:AZ24"/>
    <mergeCell ref="AN15:AO15"/>
    <mergeCell ref="S24:AM24"/>
    <mergeCell ref="S25:AM25"/>
    <mergeCell ref="W15:AA15"/>
    <mergeCell ref="K27:L27"/>
    <mergeCell ref="S28:AM28"/>
    <mergeCell ref="M27:O27"/>
    <mergeCell ref="AZ15:BA15"/>
    <mergeCell ref="J15:K15"/>
    <mergeCell ref="K22:L23"/>
    <mergeCell ref="A17:BA18"/>
    <mergeCell ref="A20:BA21"/>
    <mergeCell ref="C25:D25"/>
    <mergeCell ref="A22:B23"/>
    <mergeCell ref="M24:O24"/>
    <mergeCell ref="M22:O23"/>
    <mergeCell ref="P22:R23"/>
    <mergeCell ref="AR24:AT24"/>
    <mergeCell ref="AN24:AO24"/>
    <mergeCell ref="P25:R25"/>
    <mergeCell ref="P26:R26"/>
    <mergeCell ref="M26:O26"/>
    <mergeCell ref="AR25:AT25"/>
    <mergeCell ref="AR26:AT26"/>
    <mergeCell ref="G22:H23"/>
    <mergeCell ref="AV15:AW15"/>
    <mergeCell ref="AU22:BA22"/>
    <mergeCell ref="AB15:AE15"/>
    <mergeCell ref="AI15:AL15"/>
    <mergeCell ref="AR15:AT15"/>
    <mergeCell ref="AV27:AZ27"/>
    <mergeCell ref="AV28:AZ28"/>
    <mergeCell ref="I22:J23"/>
    <mergeCell ref="G24:H24"/>
    <mergeCell ref="G26:H26"/>
    <mergeCell ref="I27:J27"/>
    <mergeCell ref="K26:L26"/>
    <mergeCell ref="K25:L25"/>
    <mergeCell ref="K24:L24"/>
    <mergeCell ref="AV25:AZ25"/>
    <mergeCell ref="AV26:AZ26"/>
    <mergeCell ref="AN25:AO25"/>
    <mergeCell ref="AN26:AO26"/>
    <mergeCell ref="M25:O25"/>
    <mergeCell ref="AX15:AY15"/>
    <mergeCell ref="A15:I15"/>
    <mergeCell ref="E22:F23"/>
    <mergeCell ref="C24:D24"/>
    <mergeCell ref="A24:B24"/>
    <mergeCell ref="R9:V9"/>
    <mergeCell ref="BE4:BH4"/>
    <mergeCell ref="AG4:AK4"/>
    <mergeCell ref="AG5:AK5"/>
    <mergeCell ref="AB10:AE10"/>
    <mergeCell ref="W13:AA13"/>
    <mergeCell ref="AB14:AE14"/>
    <mergeCell ref="AI14:AL14"/>
    <mergeCell ref="W14:AA14"/>
    <mergeCell ref="R13:V13"/>
    <mergeCell ref="AV10:AW10"/>
    <mergeCell ref="AZ10:BA10"/>
    <mergeCell ref="AX10:AY10"/>
    <mergeCell ref="AZ12:BA12"/>
    <mergeCell ref="AZ14:BA14"/>
    <mergeCell ref="AN12:AO12"/>
    <mergeCell ref="R6:V6"/>
    <mergeCell ref="AI9:AL9"/>
    <mergeCell ref="AR13:AT13"/>
    <mergeCell ref="AN14:AO14"/>
    <mergeCell ref="AR14:AT14"/>
    <mergeCell ref="AB12:AE12"/>
    <mergeCell ref="W12:AA12"/>
    <mergeCell ref="W10:AA10"/>
    <mergeCell ref="BK7:CF32"/>
    <mergeCell ref="AG7:AK7"/>
    <mergeCell ref="BC11:BG11"/>
    <mergeCell ref="AN22:AQ22"/>
    <mergeCell ref="AR22:AT23"/>
    <mergeCell ref="A19:BA19"/>
    <mergeCell ref="AN23:AO23"/>
    <mergeCell ref="AV23:AZ23"/>
    <mergeCell ref="A16:BA16"/>
    <mergeCell ref="J9:K9"/>
    <mergeCell ref="J10:K10"/>
    <mergeCell ref="J11:K11"/>
    <mergeCell ref="J12:K12"/>
    <mergeCell ref="A9:E9"/>
    <mergeCell ref="A10:E10"/>
    <mergeCell ref="H7:L7"/>
    <mergeCell ref="AV1:BA7"/>
    <mergeCell ref="R4:V4"/>
    <mergeCell ref="BF25:BJ25"/>
    <mergeCell ref="A1:F7"/>
    <mergeCell ref="BE2:BH2"/>
    <mergeCell ref="C29:D29"/>
    <mergeCell ref="BE1:BH1"/>
    <mergeCell ref="AL3:AP3"/>
    <mergeCell ref="H5:L5"/>
    <mergeCell ref="AL6:AP6"/>
    <mergeCell ref="AL7:AP7"/>
    <mergeCell ref="W3:AA3"/>
    <mergeCell ref="W4:AA4"/>
    <mergeCell ref="W5:AA5"/>
    <mergeCell ref="W6:AA6"/>
    <mergeCell ref="W7:AA7"/>
    <mergeCell ref="AB3:AF3"/>
    <mergeCell ref="AB4:AF4"/>
    <mergeCell ref="AB5:AF5"/>
    <mergeCell ref="AL5:AP5"/>
    <mergeCell ref="AB7:AF7"/>
    <mergeCell ref="M5:Q5"/>
    <mergeCell ref="M6:Q6"/>
    <mergeCell ref="M7:Q7"/>
    <mergeCell ref="H3:L3"/>
    <mergeCell ref="M3:Q3"/>
    <mergeCell ref="AG6:AK6"/>
    <mergeCell ref="BE3:BH3"/>
    <mergeCell ref="R7:V7"/>
    <mergeCell ref="H9:I9"/>
    <mergeCell ref="H6:L6"/>
    <mergeCell ref="H10:I10"/>
    <mergeCell ref="H1:AU2"/>
    <mergeCell ref="H4:L4"/>
    <mergeCell ref="W9:AA9"/>
    <mergeCell ref="AB6:AF6"/>
    <mergeCell ref="AQ3:AU3"/>
    <mergeCell ref="AQ4:AU4"/>
    <mergeCell ref="AQ5:AU5"/>
    <mergeCell ref="AG3:AK3"/>
    <mergeCell ref="M4:Q4"/>
    <mergeCell ref="AQ7:AU7"/>
    <mergeCell ref="R5:V5"/>
    <mergeCell ref="AL4:AP4"/>
    <mergeCell ref="L9:Q9"/>
    <mergeCell ref="AM9:BA9"/>
    <mergeCell ref="AR10:AT10"/>
    <mergeCell ref="AN10:AO10"/>
    <mergeCell ref="L10:Q10"/>
    <mergeCell ref="R3:V3"/>
    <mergeCell ref="AQ6:AU6"/>
    <mergeCell ref="G39:H39"/>
    <mergeCell ref="M40:O40"/>
    <mergeCell ref="P39:R39"/>
    <mergeCell ref="P46:R46"/>
    <mergeCell ref="P47:R47"/>
    <mergeCell ref="P32:R32"/>
    <mergeCell ref="P24:R24"/>
    <mergeCell ref="I24:J24"/>
    <mergeCell ref="K47:L47"/>
    <mergeCell ref="K36:L36"/>
    <mergeCell ref="I28:J28"/>
    <mergeCell ref="P45:R45"/>
    <mergeCell ref="M45:O45"/>
    <mergeCell ref="P44:R44"/>
    <mergeCell ref="M37:O37"/>
    <mergeCell ref="M36:O36"/>
    <mergeCell ref="M34:O34"/>
    <mergeCell ref="K39:L39"/>
    <mergeCell ref="K33:L33"/>
    <mergeCell ref="K30:L30"/>
    <mergeCell ref="K34:L34"/>
    <mergeCell ref="I33:J33"/>
    <mergeCell ref="I34:J34"/>
    <mergeCell ref="C40:D40"/>
    <mergeCell ref="E41:F41"/>
    <mergeCell ref="E40:F40"/>
    <mergeCell ref="K40:L40"/>
    <mergeCell ref="I46:J46"/>
    <mergeCell ref="I40:J40"/>
    <mergeCell ref="E42:F42"/>
    <mergeCell ref="E43:F43"/>
    <mergeCell ref="G44:H44"/>
    <mergeCell ref="G45:H45"/>
    <mergeCell ref="K44:L44"/>
    <mergeCell ref="K46:L46"/>
    <mergeCell ref="E45:F45"/>
    <mergeCell ref="K41:L41"/>
    <mergeCell ref="K42:L42"/>
    <mergeCell ref="K45:L45"/>
    <mergeCell ref="I41:J41"/>
    <mergeCell ref="I39:J39"/>
    <mergeCell ref="P33:R33"/>
    <mergeCell ref="K38:L38"/>
    <mergeCell ref="M39:O39"/>
    <mergeCell ref="M38:O38"/>
    <mergeCell ref="P40:R40"/>
    <mergeCell ref="M42:O42"/>
    <mergeCell ref="E47:F47"/>
    <mergeCell ref="C22:D23"/>
    <mergeCell ref="C42:D42"/>
    <mergeCell ref="I42:J42"/>
    <mergeCell ref="G42:H42"/>
    <mergeCell ref="K43:L43"/>
    <mergeCell ref="M43:O43"/>
    <mergeCell ref="C45:D45"/>
    <mergeCell ref="P30:R30"/>
    <mergeCell ref="M28:O28"/>
    <mergeCell ref="E25:F25"/>
    <mergeCell ref="G27:H27"/>
    <mergeCell ref="E27:F27"/>
    <mergeCell ref="I43:J43"/>
    <mergeCell ref="I44:J44"/>
    <mergeCell ref="G46:H46"/>
    <mergeCell ref="I45:J45"/>
    <mergeCell ref="P29:R29"/>
    <mergeCell ref="M29:O29"/>
    <mergeCell ref="M30:O30"/>
    <mergeCell ref="M32:O32"/>
    <mergeCell ref="K28:L28"/>
    <mergeCell ref="K31:L31"/>
    <mergeCell ref="K29:L29"/>
    <mergeCell ref="P28:R28"/>
    <mergeCell ref="P31:R31"/>
    <mergeCell ref="AR58:AT58"/>
    <mergeCell ref="G60:H60"/>
    <mergeCell ref="M65:O65"/>
    <mergeCell ref="M60:O60"/>
    <mergeCell ref="M59:O59"/>
    <mergeCell ref="M58:O58"/>
    <mergeCell ref="AR66:AT66"/>
    <mergeCell ref="S66:AM66"/>
    <mergeCell ref="M46:O46"/>
    <mergeCell ref="P50:R50"/>
    <mergeCell ref="S48:AM48"/>
    <mergeCell ref="I47:J47"/>
    <mergeCell ref="M56:O56"/>
    <mergeCell ref="M48:O48"/>
    <mergeCell ref="I54:J54"/>
    <mergeCell ref="I52:J52"/>
    <mergeCell ref="I49:J49"/>
    <mergeCell ref="M47:O47"/>
    <mergeCell ref="K51:L51"/>
    <mergeCell ref="P48:R48"/>
    <mergeCell ref="I56:J56"/>
    <mergeCell ref="G47:H47"/>
    <mergeCell ref="G48:H48"/>
    <mergeCell ref="P66:R66"/>
    <mergeCell ref="AR27:AT27"/>
    <mergeCell ref="S29:AM29"/>
    <mergeCell ref="AN28:AO28"/>
    <mergeCell ref="AN30:AO30"/>
    <mergeCell ref="AN29:AO29"/>
    <mergeCell ref="AV30:AZ30"/>
    <mergeCell ref="AV32:AZ32"/>
    <mergeCell ref="AR31:AT31"/>
    <mergeCell ref="AV31:AZ31"/>
    <mergeCell ref="AR28:AT28"/>
    <mergeCell ref="AR29:AT29"/>
    <mergeCell ref="AR30:AT30"/>
    <mergeCell ref="AN27:AO27"/>
    <mergeCell ref="AR32:AT32"/>
    <mergeCell ref="AN32:AO32"/>
    <mergeCell ref="AV29:AZ29"/>
    <mergeCell ref="S30:AM30"/>
    <mergeCell ref="AN31:AO31"/>
    <mergeCell ref="S31:AM31"/>
    <mergeCell ref="S32:AM32"/>
    <mergeCell ref="AR33:AT33"/>
    <mergeCell ref="AR36:AT36"/>
    <mergeCell ref="A85:BA85"/>
    <mergeCell ref="K70:L70"/>
    <mergeCell ref="P70:R70"/>
    <mergeCell ref="G71:H71"/>
    <mergeCell ref="AV35:AZ35"/>
    <mergeCell ref="AV34:AZ34"/>
    <mergeCell ref="A40:B40"/>
    <mergeCell ref="C41:D41"/>
    <mergeCell ref="A38:B38"/>
    <mergeCell ref="C36:D36"/>
    <mergeCell ref="G41:H41"/>
    <mergeCell ref="A44:B44"/>
    <mergeCell ref="S44:AM44"/>
    <mergeCell ref="C43:D43"/>
    <mergeCell ref="C44:D44"/>
    <mergeCell ref="E44:F44"/>
    <mergeCell ref="M41:O41"/>
    <mergeCell ref="G43:H43"/>
    <mergeCell ref="S60:AM60"/>
    <mergeCell ref="M73:O73"/>
    <mergeCell ref="AN73:AO73"/>
    <mergeCell ref="G73:H73"/>
    <mergeCell ref="E75:F75"/>
    <mergeCell ref="E74:F74"/>
    <mergeCell ref="C76:D76"/>
    <mergeCell ref="A76:B76"/>
    <mergeCell ref="AR74:AT74"/>
    <mergeCell ref="S33:AM33"/>
    <mergeCell ref="M66:O66"/>
    <mergeCell ref="S65:AM65"/>
    <mergeCell ref="S59:AM59"/>
    <mergeCell ref="AN58:AO58"/>
    <mergeCell ref="P60:R60"/>
    <mergeCell ref="G62:AT62"/>
    <mergeCell ref="P63:R64"/>
    <mergeCell ref="K63:L64"/>
    <mergeCell ref="K60:L60"/>
    <mergeCell ref="I61:J61"/>
    <mergeCell ref="K61:L61"/>
    <mergeCell ref="M61:O61"/>
    <mergeCell ref="G61:H61"/>
    <mergeCell ref="AN61:AO61"/>
    <mergeCell ref="S61:AM61"/>
    <mergeCell ref="A87:BA87"/>
    <mergeCell ref="A95:C102"/>
    <mergeCell ref="A88:C94"/>
    <mergeCell ref="D88:AD94"/>
    <mergeCell ref="D95:AD102"/>
    <mergeCell ref="AE88:AE94"/>
    <mergeCell ref="AF95:BA102"/>
    <mergeCell ref="AF88:BA94"/>
    <mergeCell ref="A73:B73"/>
    <mergeCell ref="AR75:AT75"/>
    <mergeCell ref="AN74:AO74"/>
    <mergeCell ref="S78:BA79"/>
    <mergeCell ref="S76:AM76"/>
    <mergeCell ref="A78:R79"/>
    <mergeCell ref="G75:H75"/>
    <mergeCell ref="A83:BA83"/>
    <mergeCell ref="E77:F77"/>
    <mergeCell ref="K75:L75"/>
    <mergeCell ref="AR76:AT76"/>
    <mergeCell ref="AV74:AZ74"/>
    <mergeCell ref="I73:J73"/>
    <mergeCell ref="P74:R74"/>
    <mergeCell ref="I74:J74"/>
    <mergeCell ref="P73:R73"/>
    <mergeCell ref="AN76:AO76"/>
    <mergeCell ref="A84:BA84"/>
    <mergeCell ref="A77:D77"/>
    <mergeCell ref="I76:J76"/>
    <mergeCell ref="P76:R76"/>
    <mergeCell ref="AN75:AO75"/>
    <mergeCell ref="G77:AU77"/>
    <mergeCell ref="AV76:AZ76"/>
    <mergeCell ref="M76:O76"/>
    <mergeCell ref="K76:L76"/>
    <mergeCell ref="G76:H76"/>
    <mergeCell ref="AV77:AZ77"/>
  </mergeCells>
  <pageMargins left="0" right="0" top="0" bottom="0" header="0" footer="0"/>
  <pageSetup scale="14" orientation="portrait" r:id="rId1"/>
  <drawing r:id="rId2"/>
  <extLst>
    <ext xmlns:x14="http://schemas.microsoft.com/office/spreadsheetml/2009/9/main" uri="{CCE6A557-97BC-4b89-ADB6-D9C93CAAB3DF}">
      <x14:dataValidations xmlns:xm="http://schemas.microsoft.com/office/excel/2006/main" count="6">
        <x14:dataValidation type="list" allowBlank="1" showInputMessage="1" showErrorMessage="1" xr:uid="{00000000-0002-0000-0000-000000000000}">
          <x14:formula1>
            <xm:f>setting!$Q$5:$Q$35</xm:f>
          </x14:formula1>
          <xm:sqref>J10:K13</xm:sqref>
        </x14:dataValidation>
        <x14:dataValidation type="list" allowBlank="1" showInputMessage="1" showErrorMessage="1" xr:uid="{00000000-0002-0000-0000-000001000000}">
          <x14:formula1>
            <xm:f>setting!$R$5:$R$16</xm:f>
          </x14:formula1>
          <xm:sqref>H10:I13</xm:sqref>
        </x14:dataValidation>
        <x14:dataValidation type="list" allowBlank="1" showInputMessage="1" showErrorMessage="1" xr:uid="{00000000-0002-0000-0000-000002000000}">
          <x14:formula1>
            <xm:f>setting!$S$5:$S$34</xm:f>
          </x14:formula1>
          <xm:sqref>F10:G13</xm:sqref>
        </x14:dataValidation>
        <x14:dataValidation type="list" allowBlank="1" showInputMessage="1" showErrorMessage="1" xr:uid="{00000000-0002-0000-0000-000003000000}">
          <x14:formula1>
            <xm:f>setting!$L$6:$L$23</xm:f>
          </x14:formula1>
          <xm:sqref>G65:H76 G24:H61</xm:sqref>
        </x14:dataValidation>
        <x14:dataValidation type="list" allowBlank="1" showInputMessage="1" showErrorMessage="1" xr:uid="{00000000-0002-0000-0000-000004000000}">
          <x14:formula1>
            <xm:f>setting!$F$6:$F$11</xm:f>
          </x14:formula1>
          <xm:sqref>M65:M76 M30 M32:O33 M34:M61 M29:O29 N34:O51 M24:M28</xm:sqref>
        </x14:dataValidation>
        <x14:dataValidation type="list" allowBlank="1" showInputMessage="1" showErrorMessage="1" xr:uid="{00000000-0002-0000-0000-000005000000}">
          <x14:formula1>
            <xm:f>setting!$J$6:$J$7</xm:f>
          </x14:formula1>
          <xm:sqref>AO76 AO24:AO47 AN24:AN61 AN65:AN76</xm:sqref>
        </x14:dataValidation>
      </x14:dataValidations>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AQ114"/>
  <sheetViews>
    <sheetView showGridLines="0" view="pageBreakPreview" zoomScale="40" zoomScaleNormal="25" zoomScaleSheetLayoutView="40" workbookViewId="0">
      <selection activeCell="T51" sqref="T51"/>
    </sheetView>
  </sheetViews>
  <sheetFormatPr defaultColWidth="9.140625" defaultRowHeight="14.25"/>
  <cols>
    <col min="1" max="1" width="9.28515625" style="1" customWidth="1"/>
    <col min="2" max="2" width="51.140625" style="3" customWidth="1"/>
    <col min="3" max="3" width="16.85546875" style="3" customWidth="1"/>
    <col min="4" max="4" width="22.7109375" style="3" customWidth="1"/>
    <col min="5" max="5" width="28.7109375" style="3" customWidth="1"/>
    <col min="6" max="6" width="47.7109375" style="3" customWidth="1"/>
    <col min="7" max="7" width="20.42578125" style="3" customWidth="1"/>
    <col min="8" max="8" width="21.85546875" style="3" customWidth="1"/>
    <col min="9" max="9" width="39.5703125" style="3" customWidth="1"/>
    <col min="10" max="10" width="32.5703125" style="3" customWidth="1"/>
    <col min="11" max="11" width="36.140625" style="3" customWidth="1"/>
    <col min="12" max="12" width="39.28515625" style="3" customWidth="1"/>
    <col min="13" max="13" width="26.7109375" style="3" customWidth="1"/>
    <col min="14" max="14" width="20.7109375" style="3" customWidth="1"/>
    <col min="15" max="15" width="38.85546875" style="3" customWidth="1"/>
    <col min="16" max="16" width="19.7109375" style="3" customWidth="1"/>
    <col min="17" max="17" width="22" style="3" customWidth="1"/>
    <col min="18" max="18" width="1.140625" style="3" hidden="1" customWidth="1"/>
    <col min="19" max="19" width="19.28515625" style="3" customWidth="1"/>
    <col min="20" max="20" width="32.5703125" style="3" customWidth="1"/>
    <col min="21" max="21" width="78.7109375" style="1" customWidth="1"/>
    <col min="22" max="22" width="13.42578125" style="1" customWidth="1"/>
    <col min="23" max="23" width="14.7109375" style="1" customWidth="1"/>
    <col min="24" max="24" width="11.140625" style="1" customWidth="1"/>
    <col min="25" max="25" width="9.5703125" style="1" customWidth="1"/>
    <col min="26" max="26" width="0" style="1" hidden="1" customWidth="1"/>
    <col min="27" max="27" width="13.7109375" style="1" customWidth="1"/>
    <col min="28" max="28" width="14.5703125" style="1" customWidth="1"/>
    <col min="29" max="29" width="25" style="1" customWidth="1"/>
    <col min="30" max="30" width="26.7109375" style="1" customWidth="1"/>
    <col min="31" max="31" width="0" style="1" hidden="1" customWidth="1"/>
    <col min="32" max="32" width="21.42578125" style="1" customWidth="1"/>
    <col min="33" max="33" width="52.140625" style="1" customWidth="1"/>
    <col min="34" max="34" width="37.85546875" style="1" customWidth="1"/>
    <col min="35" max="16384" width="9.140625" style="1"/>
  </cols>
  <sheetData>
    <row r="1" spans="1:43" ht="15" thickBot="1">
      <c r="U1" s="2"/>
      <c r="V1" s="2"/>
      <c r="W1" s="2"/>
      <c r="X1" s="2"/>
      <c r="Y1" s="2"/>
      <c r="Z1" s="2"/>
      <c r="AA1" s="2"/>
      <c r="AB1" s="2"/>
      <c r="AC1" s="2"/>
      <c r="AD1" s="2"/>
      <c r="AE1" s="2"/>
      <c r="AF1" s="2"/>
      <c r="AG1" s="2"/>
      <c r="AH1" s="2"/>
      <c r="AI1" s="2"/>
      <c r="AJ1" s="2"/>
      <c r="AK1" s="2"/>
    </row>
    <row r="2" spans="1:43" s="6" customFormat="1" ht="33" customHeight="1">
      <c r="B2" s="33" t="s">
        <v>666</v>
      </c>
      <c r="C2" s="34"/>
      <c r="D2" s="34"/>
      <c r="E2" s="34"/>
      <c r="F2" s="34"/>
      <c r="G2" s="34"/>
      <c r="H2" s="34"/>
      <c r="I2" s="34"/>
      <c r="J2" s="34"/>
      <c r="K2" s="34"/>
      <c r="L2" s="34"/>
      <c r="M2" s="34"/>
      <c r="N2" s="34"/>
      <c r="O2" s="34"/>
      <c r="P2" s="34"/>
      <c r="Q2" s="34"/>
      <c r="R2" s="34"/>
      <c r="S2" s="34"/>
      <c r="T2" s="35"/>
      <c r="U2" s="5"/>
      <c r="V2" s="5"/>
      <c r="W2" s="5"/>
      <c r="X2" s="5"/>
      <c r="Y2" s="5"/>
      <c r="Z2" s="5"/>
      <c r="AA2" s="5"/>
      <c r="AB2" s="5"/>
      <c r="AC2" s="5"/>
      <c r="AD2" s="5"/>
      <c r="AE2" s="4"/>
      <c r="AF2" s="851"/>
      <c r="AG2" s="851"/>
      <c r="AH2" s="851"/>
      <c r="AI2" s="851"/>
    </row>
    <row r="3" spans="1:43" s="6" customFormat="1" ht="33" customHeight="1">
      <c r="B3" s="36"/>
      <c r="C3" s="853" t="s">
        <v>641</v>
      </c>
      <c r="D3" s="853"/>
      <c r="E3" s="853"/>
      <c r="F3" s="853"/>
      <c r="G3" s="853"/>
      <c r="H3" s="853"/>
      <c r="I3" s="853"/>
      <c r="J3" s="853"/>
      <c r="K3" s="853"/>
      <c r="L3" s="853"/>
      <c r="M3" s="853"/>
      <c r="N3" s="853"/>
      <c r="O3" s="853"/>
      <c r="P3" s="853"/>
      <c r="Q3" s="853"/>
      <c r="R3" s="853"/>
      <c r="S3" s="853"/>
      <c r="T3" s="37"/>
      <c r="U3" s="5"/>
      <c r="V3" s="5"/>
      <c r="W3" s="5"/>
      <c r="X3" s="5"/>
      <c r="Y3" s="5"/>
      <c r="Z3" s="5"/>
      <c r="AA3" s="5"/>
      <c r="AB3" s="5"/>
      <c r="AC3" s="5"/>
      <c r="AD3" s="5"/>
      <c r="AE3" s="4"/>
      <c r="AF3" s="851"/>
      <c r="AG3" s="851"/>
      <c r="AH3" s="851"/>
      <c r="AI3" s="851"/>
      <c r="AQ3" s="6">
        <v>467</v>
      </c>
    </row>
    <row r="4" spans="1:43" s="6" customFormat="1" ht="33" customHeight="1">
      <c r="B4" s="36"/>
      <c r="C4" s="861" t="str">
        <f>'DDR Remark'!AG4</f>
        <v>OEOC 208</v>
      </c>
      <c r="D4" s="861"/>
      <c r="E4" s="861"/>
      <c r="F4" s="861"/>
      <c r="G4" s="861"/>
      <c r="H4" s="861"/>
      <c r="I4" s="861"/>
      <c r="J4" s="861"/>
      <c r="K4" s="861"/>
      <c r="L4" s="861"/>
      <c r="M4" s="861"/>
      <c r="N4" s="861"/>
      <c r="O4" s="861"/>
      <c r="P4" s="861"/>
      <c r="Q4" s="861"/>
      <c r="R4" s="861"/>
      <c r="S4" s="861"/>
      <c r="T4" s="37"/>
      <c r="U4" s="5"/>
      <c r="V4" s="5"/>
      <c r="W4" s="5"/>
      <c r="X4" s="5"/>
      <c r="Y4" s="5"/>
      <c r="Z4" s="5"/>
      <c r="AA4" s="5"/>
      <c r="AB4" s="5"/>
      <c r="AC4" s="5"/>
      <c r="AD4" s="5"/>
      <c r="AE4" s="4"/>
      <c r="AF4" s="851"/>
      <c r="AG4" s="851"/>
      <c r="AH4" s="851"/>
      <c r="AI4" s="851"/>
      <c r="AQ4" s="6">
        <v>6.25</v>
      </c>
    </row>
    <row r="5" spans="1:43" ht="20.100000000000001" customHeight="1" thickBot="1">
      <c r="B5" s="36"/>
      <c r="C5" s="99"/>
      <c r="D5" s="99"/>
      <c r="E5" s="99"/>
      <c r="F5" s="99"/>
      <c r="G5" s="99"/>
      <c r="H5" s="99"/>
      <c r="I5" s="99"/>
      <c r="J5" s="99"/>
      <c r="K5" s="99"/>
      <c r="L5" s="99"/>
      <c r="M5" s="99"/>
      <c r="N5" s="99"/>
      <c r="O5" s="99"/>
      <c r="P5" s="99"/>
      <c r="Q5" s="99"/>
      <c r="R5" s="99"/>
      <c r="S5" s="99"/>
      <c r="T5" s="37"/>
      <c r="V5" s="2"/>
      <c r="W5" s="2"/>
      <c r="X5" s="2"/>
      <c r="Y5" s="2"/>
      <c r="Z5" s="2"/>
      <c r="AA5" s="2"/>
      <c r="AB5" s="2"/>
      <c r="AC5" s="2"/>
      <c r="AD5" s="2"/>
      <c r="AE5" s="2"/>
      <c r="AF5" s="2"/>
      <c r="AG5" s="2"/>
      <c r="AH5" s="2"/>
      <c r="AI5" s="2"/>
      <c r="AJ5" s="2"/>
      <c r="AK5" s="2"/>
      <c r="AQ5" s="1">
        <v>7</v>
      </c>
    </row>
    <row r="6" spans="1:43" s="56" customFormat="1" ht="39.950000000000003" customHeight="1">
      <c r="B6" s="864" t="s">
        <v>27</v>
      </c>
      <c r="C6" s="865"/>
      <c r="D6" s="865"/>
      <c r="E6" s="241" t="str">
        <f>'DDR Remark'!W3</f>
        <v>AZNS-207</v>
      </c>
      <c r="F6" s="862" t="s">
        <v>549</v>
      </c>
      <c r="G6" s="242" t="s">
        <v>496</v>
      </c>
      <c r="H6" s="242" t="s">
        <v>495</v>
      </c>
      <c r="I6" s="243" t="s">
        <v>497</v>
      </c>
      <c r="J6" s="743" t="s">
        <v>28</v>
      </c>
      <c r="K6" s="744"/>
      <c r="L6" s="744"/>
      <c r="M6" s="852"/>
      <c r="N6" s="743" t="s">
        <v>29</v>
      </c>
      <c r="O6" s="744"/>
      <c r="P6" s="744"/>
      <c r="Q6" s="744"/>
      <c r="R6" s="744"/>
      <c r="S6" s="744"/>
      <c r="T6" s="852"/>
      <c r="U6" s="57"/>
      <c r="V6" s="58"/>
      <c r="W6" s="58"/>
      <c r="X6" s="58"/>
      <c r="Y6" s="58"/>
      <c r="Z6" s="58"/>
      <c r="AA6" s="58"/>
      <c r="AB6" s="58"/>
      <c r="AC6" s="58"/>
      <c r="AD6" s="58"/>
      <c r="AE6" s="58"/>
      <c r="AF6" s="58"/>
      <c r="AG6" s="58"/>
      <c r="AH6" s="58"/>
      <c r="AI6" s="58"/>
      <c r="AJ6" s="58"/>
      <c r="AK6" s="58"/>
    </row>
    <row r="7" spans="1:43" s="56" customFormat="1" ht="39.950000000000003" customHeight="1" thickBot="1">
      <c r="B7" s="866" t="s">
        <v>550</v>
      </c>
      <c r="C7" s="867"/>
      <c r="D7" s="867"/>
      <c r="E7" s="244">
        <f>'DDR Remark'!AQ5</f>
        <v>8</v>
      </c>
      <c r="F7" s="863"/>
      <c r="G7" s="245">
        <f>'DDR Remark'!F11</f>
        <v>2024</v>
      </c>
      <c r="H7" s="245" t="str">
        <f>'DDR Remark'!H11</f>
        <v>Oct</v>
      </c>
      <c r="I7" s="246">
        <f>'DDR Remark'!J11</f>
        <v>22</v>
      </c>
      <c r="J7" s="772" t="s">
        <v>87</v>
      </c>
      <c r="K7" s="773"/>
      <c r="L7" s="247">
        <v>0</v>
      </c>
      <c r="M7" s="200"/>
      <c r="N7" s="717" t="s">
        <v>30</v>
      </c>
      <c r="O7" s="699"/>
      <c r="P7" s="232" t="s">
        <v>443</v>
      </c>
      <c r="Q7" s="232" t="s">
        <v>16</v>
      </c>
      <c r="R7" s="232"/>
      <c r="S7" s="232" t="s">
        <v>31</v>
      </c>
      <c r="T7" s="238" t="s">
        <v>32</v>
      </c>
      <c r="U7" s="58"/>
      <c r="V7" s="58"/>
      <c r="W7" s="58"/>
      <c r="X7" s="58"/>
      <c r="Y7" s="58"/>
      <c r="Z7" s="58"/>
      <c r="AA7" s="58"/>
      <c r="AB7" s="58"/>
      <c r="AC7" s="58"/>
      <c r="AD7" s="58"/>
      <c r="AE7" s="58"/>
      <c r="AF7" s="58"/>
      <c r="AG7" s="58"/>
      <c r="AH7" s="58"/>
      <c r="AI7" s="58"/>
      <c r="AJ7" s="58"/>
      <c r="AK7" s="58"/>
    </row>
    <row r="8" spans="1:43" s="56" customFormat="1" ht="39.950000000000003" customHeight="1">
      <c r="B8" s="896" t="s">
        <v>33</v>
      </c>
      <c r="C8" s="897"/>
      <c r="D8" s="897"/>
      <c r="E8" s="897"/>
      <c r="F8" s="897"/>
      <c r="G8" s="897"/>
      <c r="H8" s="897"/>
      <c r="I8" s="898"/>
      <c r="J8" s="801" t="s">
        <v>88</v>
      </c>
      <c r="K8" s="802"/>
      <c r="L8" s="248" t="s">
        <v>857</v>
      </c>
      <c r="M8" s="201"/>
      <c r="N8" s="772" t="s">
        <v>776</v>
      </c>
      <c r="O8" s="773"/>
      <c r="P8" s="232"/>
      <c r="Q8" s="232"/>
      <c r="R8" s="236"/>
      <c r="S8" s="256">
        <v>13</v>
      </c>
      <c r="T8" s="257" t="s">
        <v>447</v>
      </c>
      <c r="U8" s="58"/>
      <c r="V8" s="58"/>
      <c r="W8" s="58"/>
      <c r="X8" s="58"/>
      <c r="Y8" s="58"/>
      <c r="Z8" s="58"/>
      <c r="AA8" s="58"/>
      <c r="AB8" s="58"/>
      <c r="AC8" s="58"/>
      <c r="AD8" s="58"/>
      <c r="AE8" s="58"/>
      <c r="AF8" s="58"/>
      <c r="AG8" s="58"/>
      <c r="AH8" s="58"/>
      <c r="AI8" s="58"/>
      <c r="AJ8" s="58"/>
      <c r="AK8" s="58"/>
    </row>
    <row r="9" spans="1:43" s="56" customFormat="1" ht="44.1" customHeight="1">
      <c r="A9" s="59"/>
      <c r="B9" s="854" t="s">
        <v>700</v>
      </c>
      <c r="C9" s="855"/>
      <c r="D9" s="855"/>
      <c r="E9" s="808">
        <v>2</v>
      </c>
      <c r="F9" s="808"/>
      <c r="G9" s="808"/>
      <c r="H9" s="808"/>
      <c r="I9" s="899"/>
      <c r="J9" s="772" t="s">
        <v>662</v>
      </c>
      <c r="K9" s="249" t="s">
        <v>32</v>
      </c>
      <c r="L9" s="782">
        <v>71</v>
      </c>
      <c r="M9" s="903"/>
      <c r="N9" s="774" t="s">
        <v>460</v>
      </c>
      <c r="O9" s="775"/>
      <c r="P9" s="232"/>
      <c r="Q9" s="232">
        <v>24</v>
      </c>
      <c r="R9" s="236"/>
      <c r="S9" s="256">
        <v>45</v>
      </c>
      <c r="T9" s="257" t="s">
        <v>461</v>
      </c>
      <c r="U9" s="58"/>
      <c r="V9" s="58"/>
      <c r="W9" s="58"/>
      <c r="X9" s="58"/>
      <c r="Y9" s="58"/>
      <c r="Z9" s="58"/>
      <c r="AA9" s="58"/>
      <c r="AB9" s="58"/>
      <c r="AC9" s="58"/>
      <c r="AD9" s="58"/>
      <c r="AE9" s="58"/>
      <c r="AF9" s="58"/>
      <c r="AG9" s="58"/>
      <c r="AH9" s="58"/>
      <c r="AI9" s="58"/>
      <c r="AJ9" s="58"/>
      <c r="AK9" s="58"/>
    </row>
    <row r="10" spans="1:43" s="56" customFormat="1" ht="44.1" customHeight="1">
      <c r="B10" s="854" t="s">
        <v>711</v>
      </c>
      <c r="C10" s="855"/>
      <c r="D10" s="855"/>
      <c r="E10" s="808">
        <v>1</v>
      </c>
      <c r="F10" s="808"/>
      <c r="G10" s="904"/>
      <c r="H10" s="905"/>
      <c r="I10" s="906"/>
      <c r="J10" s="772"/>
      <c r="K10" s="234" t="s">
        <v>731</v>
      </c>
      <c r="L10" s="782"/>
      <c r="M10" s="903"/>
      <c r="N10" s="833" t="s">
        <v>766</v>
      </c>
      <c r="O10" s="834"/>
      <c r="P10" s="232"/>
      <c r="Q10" s="232"/>
      <c r="R10" s="321"/>
      <c r="S10" s="327"/>
      <c r="T10" s="259" t="s">
        <v>486</v>
      </c>
      <c r="U10" s="323"/>
      <c r="V10" s="323"/>
      <c r="W10" s="58"/>
      <c r="X10" s="58"/>
      <c r="Y10" s="58"/>
      <c r="Z10" s="58"/>
      <c r="AA10" s="58"/>
      <c r="AB10" s="58"/>
      <c r="AC10" s="58"/>
      <c r="AD10" s="58"/>
      <c r="AE10" s="58"/>
      <c r="AF10" s="58"/>
      <c r="AG10" s="58"/>
      <c r="AH10" s="58"/>
      <c r="AI10" s="58"/>
      <c r="AJ10" s="58"/>
      <c r="AK10" s="58"/>
    </row>
    <row r="11" spans="1:43" s="56" customFormat="1" ht="44.1" customHeight="1">
      <c r="B11" s="854" t="s">
        <v>699</v>
      </c>
      <c r="C11" s="855"/>
      <c r="D11" s="855"/>
      <c r="E11" s="803" t="s">
        <v>941</v>
      </c>
      <c r="F11" s="803"/>
      <c r="G11" s="885"/>
      <c r="H11" s="886"/>
      <c r="I11" s="887"/>
      <c r="J11" s="772" t="s">
        <v>802</v>
      </c>
      <c r="K11" s="773"/>
      <c r="L11" s="239">
        <v>33</v>
      </c>
      <c r="M11" s="205"/>
      <c r="N11" s="772" t="s">
        <v>482</v>
      </c>
      <c r="O11" s="773"/>
      <c r="P11" s="256">
        <v>20</v>
      </c>
      <c r="Q11" s="256"/>
      <c r="R11" s="322"/>
      <c r="S11" s="327">
        <v>81</v>
      </c>
      <c r="T11" s="259" t="s">
        <v>447</v>
      </c>
      <c r="U11" s="323"/>
      <c r="V11" s="323"/>
      <c r="W11" s="58"/>
      <c r="X11" s="58"/>
      <c r="Y11" s="58"/>
      <c r="Z11" s="58"/>
      <c r="AA11" s="58"/>
      <c r="AB11" s="58"/>
      <c r="AC11" s="58"/>
      <c r="AD11" s="58"/>
      <c r="AE11" s="58"/>
      <c r="AF11" s="58"/>
      <c r="AG11" s="58"/>
      <c r="AH11" s="58"/>
      <c r="AI11" s="58"/>
      <c r="AJ11" s="58"/>
      <c r="AK11" s="58"/>
    </row>
    <row r="12" spans="1:43" s="56" customFormat="1" ht="44.1" customHeight="1">
      <c r="B12" s="854" t="s">
        <v>588</v>
      </c>
      <c r="C12" s="855"/>
      <c r="D12" s="855"/>
      <c r="E12" s="819" t="s">
        <v>942</v>
      </c>
      <c r="F12" s="819"/>
      <c r="G12" s="885"/>
      <c r="H12" s="886"/>
      <c r="I12" s="887"/>
      <c r="J12" s="772" t="s">
        <v>801</v>
      </c>
      <c r="K12" s="773"/>
      <c r="L12" s="239">
        <v>7</v>
      </c>
      <c r="M12" s="205"/>
      <c r="N12" s="774" t="s">
        <v>450</v>
      </c>
      <c r="O12" s="775"/>
      <c r="P12" s="258">
        <v>17</v>
      </c>
      <c r="Q12" s="256"/>
      <c r="R12" s="256">
        <f>R10-R9</f>
        <v>0</v>
      </c>
      <c r="S12" s="256">
        <v>163</v>
      </c>
      <c r="T12" s="257" t="s">
        <v>449</v>
      </c>
      <c r="U12" s="58"/>
      <c r="V12" s="58"/>
      <c r="W12" s="58"/>
      <c r="X12" s="58"/>
      <c r="Y12" s="58"/>
      <c r="Z12" s="60"/>
      <c r="AA12" s="58"/>
      <c r="AB12" s="58"/>
      <c r="AC12" s="58"/>
      <c r="AD12" s="58"/>
      <c r="AE12" s="58"/>
      <c r="AF12" s="58"/>
      <c r="AG12" s="58"/>
      <c r="AH12" s="58"/>
      <c r="AI12" s="58"/>
      <c r="AJ12" s="58"/>
      <c r="AK12" s="58"/>
    </row>
    <row r="13" spans="1:43" s="56" customFormat="1" ht="44.1" customHeight="1">
      <c r="B13" s="854" t="s">
        <v>698</v>
      </c>
      <c r="C13" s="855"/>
      <c r="D13" s="855"/>
      <c r="E13" s="819" t="s">
        <v>943</v>
      </c>
      <c r="F13" s="819"/>
      <c r="G13" s="824"/>
      <c r="H13" s="825"/>
      <c r="I13" s="826"/>
      <c r="J13" s="772" t="s">
        <v>875</v>
      </c>
      <c r="K13" s="773"/>
      <c r="L13" s="239">
        <v>15</v>
      </c>
      <c r="M13" s="205"/>
      <c r="N13" s="774" t="s">
        <v>777</v>
      </c>
      <c r="O13" s="775"/>
      <c r="P13" s="258"/>
      <c r="Q13" s="256">
        <v>40</v>
      </c>
      <c r="R13" s="256"/>
      <c r="S13" s="256">
        <v>160</v>
      </c>
      <c r="T13" s="257" t="s">
        <v>449</v>
      </c>
      <c r="U13" s="61"/>
      <c r="V13" s="58"/>
      <c r="W13" s="58"/>
      <c r="X13" s="58"/>
      <c r="Y13" s="58"/>
      <c r="Z13" s="58"/>
      <c r="AA13" s="58"/>
      <c r="AB13" s="58"/>
      <c r="AC13" s="58"/>
      <c r="AD13" s="58"/>
      <c r="AE13" s="58"/>
      <c r="AF13" s="58"/>
      <c r="AG13" s="58"/>
      <c r="AH13" s="58"/>
      <c r="AI13" s="58"/>
      <c r="AJ13" s="58"/>
      <c r="AK13" s="58"/>
    </row>
    <row r="14" spans="1:43" s="56" customFormat="1" ht="44.1" customHeight="1">
      <c r="B14" s="854" t="s">
        <v>697</v>
      </c>
      <c r="C14" s="855"/>
      <c r="D14" s="855"/>
      <c r="E14" s="819"/>
      <c r="F14" s="819"/>
      <c r="G14" s="830"/>
      <c r="H14" s="831"/>
      <c r="I14" s="832"/>
      <c r="J14" s="801" t="s">
        <v>797</v>
      </c>
      <c r="K14" s="802"/>
      <c r="L14" s="240" t="s">
        <v>982</v>
      </c>
      <c r="M14" s="207"/>
      <c r="N14" s="772" t="s">
        <v>778</v>
      </c>
      <c r="O14" s="773"/>
      <c r="P14" s="258">
        <v>3</v>
      </c>
      <c r="Q14" s="256">
        <v>40</v>
      </c>
      <c r="R14" s="256"/>
      <c r="S14" s="256">
        <v>54</v>
      </c>
      <c r="T14" s="238" t="s">
        <v>449</v>
      </c>
      <c r="U14" s="62"/>
      <c r="V14" s="61"/>
      <c r="W14" s="61"/>
      <c r="X14" s="58"/>
      <c r="Y14" s="58"/>
      <c r="Z14" s="58"/>
      <c r="AA14" s="58"/>
      <c r="AB14" s="58"/>
      <c r="AC14" s="58"/>
      <c r="AD14" s="58"/>
      <c r="AE14" s="58"/>
      <c r="AF14" s="58"/>
      <c r="AG14" s="58"/>
      <c r="AH14" s="58"/>
      <c r="AI14" s="58"/>
      <c r="AJ14" s="58"/>
      <c r="AK14" s="58"/>
    </row>
    <row r="15" spans="1:43" s="56" customFormat="1" ht="44.1" customHeight="1" thickBot="1">
      <c r="B15" s="901" t="s">
        <v>696</v>
      </c>
      <c r="C15" s="902"/>
      <c r="D15" s="902"/>
      <c r="E15" s="900" t="s">
        <v>944</v>
      </c>
      <c r="F15" s="900"/>
      <c r="G15" s="827"/>
      <c r="H15" s="828"/>
      <c r="I15" s="829"/>
      <c r="J15" s="801" t="s">
        <v>796</v>
      </c>
      <c r="K15" s="802"/>
      <c r="L15" s="232">
        <v>6</v>
      </c>
      <c r="M15" s="208"/>
      <c r="N15" s="774" t="s">
        <v>779</v>
      </c>
      <c r="O15" s="775"/>
      <c r="P15" s="258"/>
      <c r="Q15" s="256">
        <v>40</v>
      </c>
      <c r="R15" s="256"/>
      <c r="S15" s="256">
        <v>58</v>
      </c>
      <c r="T15" s="257" t="s">
        <v>449</v>
      </c>
      <c r="U15" s="58"/>
      <c r="V15" s="61"/>
      <c r="W15" s="61"/>
      <c r="X15" s="58"/>
      <c r="Y15" s="58"/>
      <c r="Z15" s="58"/>
      <c r="AA15" s="58"/>
      <c r="AB15" s="58"/>
      <c r="AC15" s="58"/>
      <c r="AD15" s="58"/>
      <c r="AE15" s="58"/>
      <c r="AF15" s="58"/>
      <c r="AG15" s="58"/>
      <c r="AH15" s="58"/>
      <c r="AI15" s="58"/>
      <c r="AJ15" s="58"/>
      <c r="AK15" s="58"/>
    </row>
    <row r="16" spans="1:43" s="56" customFormat="1" ht="49.5" customHeight="1">
      <c r="B16" s="921" t="s">
        <v>508</v>
      </c>
      <c r="C16" s="922"/>
      <c r="D16" s="923"/>
      <c r="E16" s="279" t="s">
        <v>503</v>
      </c>
      <c r="F16" s="279" t="s">
        <v>510</v>
      </c>
      <c r="G16" s="868" t="s">
        <v>503</v>
      </c>
      <c r="H16" s="868"/>
      <c r="I16" s="280" t="s">
        <v>510</v>
      </c>
      <c r="J16" s="772" t="s">
        <v>795</v>
      </c>
      <c r="K16" s="773"/>
      <c r="L16" s="179" t="s">
        <v>862</v>
      </c>
      <c r="M16" s="209"/>
      <c r="N16" s="774" t="s">
        <v>458</v>
      </c>
      <c r="O16" s="775"/>
      <c r="P16" s="258"/>
      <c r="Q16" s="256"/>
      <c r="R16" s="256"/>
      <c r="S16" s="256">
        <v>25</v>
      </c>
      <c r="T16" s="257" t="s">
        <v>449</v>
      </c>
      <c r="U16" s="58"/>
      <c r="V16" s="61"/>
      <c r="W16" s="61"/>
      <c r="X16" s="58"/>
      <c r="Y16" s="58"/>
      <c r="Z16" s="58"/>
      <c r="AA16" s="58"/>
      <c r="AB16" s="58"/>
      <c r="AC16" s="58"/>
      <c r="AD16" s="58"/>
      <c r="AE16" s="58"/>
      <c r="AF16" s="58"/>
      <c r="AG16" s="58"/>
      <c r="AH16" s="58"/>
      <c r="AI16" s="58"/>
      <c r="AJ16" s="58"/>
      <c r="AK16" s="58"/>
    </row>
    <row r="17" spans="2:37" s="56" customFormat="1" ht="44.1" customHeight="1">
      <c r="B17" s="924"/>
      <c r="C17" s="925"/>
      <c r="D17" s="926"/>
      <c r="E17" s="808">
        <v>1</v>
      </c>
      <c r="F17" s="803" t="s">
        <v>945</v>
      </c>
      <c r="G17" s="804"/>
      <c r="H17" s="805"/>
      <c r="I17" s="812"/>
      <c r="J17" s="772" t="s">
        <v>794</v>
      </c>
      <c r="K17" s="773"/>
      <c r="L17" s="167">
        <v>400</v>
      </c>
      <c r="M17" s="210"/>
      <c r="N17" s="774" t="s">
        <v>451</v>
      </c>
      <c r="O17" s="775"/>
      <c r="P17" s="256"/>
      <c r="Q17" s="256"/>
      <c r="R17" s="256"/>
      <c r="S17" s="256">
        <v>40</v>
      </c>
      <c r="T17" s="259" t="s">
        <v>449</v>
      </c>
      <c r="U17" s="58"/>
      <c r="V17" s="61"/>
      <c r="W17" s="61"/>
      <c r="X17" s="58"/>
      <c r="Y17" s="58"/>
      <c r="Z17" s="58"/>
      <c r="AA17" s="58"/>
      <c r="AB17" s="58"/>
      <c r="AC17" s="58"/>
      <c r="AD17" s="58"/>
      <c r="AE17" s="58"/>
      <c r="AF17" s="58"/>
      <c r="AG17" s="58"/>
      <c r="AH17" s="58"/>
      <c r="AI17" s="58"/>
      <c r="AJ17" s="58"/>
      <c r="AK17" s="58"/>
    </row>
    <row r="18" spans="2:37" s="56" customFormat="1" ht="44.1" customHeight="1">
      <c r="B18" s="924"/>
      <c r="C18" s="925"/>
      <c r="D18" s="926"/>
      <c r="E18" s="808"/>
      <c r="F18" s="803"/>
      <c r="G18" s="806"/>
      <c r="H18" s="807"/>
      <c r="I18" s="812"/>
      <c r="J18" s="772" t="s">
        <v>793</v>
      </c>
      <c r="K18" s="773"/>
      <c r="L18" s="232"/>
      <c r="M18" s="211"/>
      <c r="N18" s="774" t="s">
        <v>453</v>
      </c>
      <c r="O18" s="775"/>
      <c r="P18" s="256"/>
      <c r="Q18" s="256"/>
      <c r="R18" s="256"/>
      <c r="S18" s="256"/>
      <c r="T18" s="259" t="s">
        <v>449</v>
      </c>
      <c r="U18" s="58"/>
      <c r="V18" s="61"/>
      <c r="W18" s="61"/>
      <c r="X18" s="58"/>
      <c r="Y18" s="58"/>
      <c r="Z18" s="58"/>
      <c r="AA18" s="58"/>
      <c r="AB18" s="58"/>
      <c r="AC18" s="58"/>
      <c r="AD18" s="58"/>
      <c r="AE18" s="58"/>
      <c r="AF18" s="58"/>
      <c r="AG18" s="58"/>
      <c r="AH18" s="58"/>
      <c r="AI18" s="58"/>
      <c r="AJ18" s="58"/>
      <c r="AK18" s="58"/>
    </row>
    <row r="19" spans="2:37" s="56" customFormat="1" ht="44.1" customHeight="1">
      <c r="B19" s="924"/>
      <c r="C19" s="925"/>
      <c r="D19" s="926"/>
      <c r="E19" s="808">
        <v>2</v>
      </c>
      <c r="F19" s="803" t="s">
        <v>974</v>
      </c>
      <c r="G19" s="808"/>
      <c r="H19" s="808"/>
      <c r="I19" s="812"/>
      <c r="J19" s="772" t="s">
        <v>800</v>
      </c>
      <c r="K19" s="773"/>
      <c r="L19" s="239">
        <v>7</v>
      </c>
      <c r="M19" s="205"/>
      <c r="N19" s="774" t="s">
        <v>452</v>
      </c>
      <c r="O19" s="775"/>
      <c r="P19" s="256"/>
      <c r="Q19" s="256"/>
      <c r="R19" s="256"/>
      <c r="S19" s="256"/>
      <c r="T19" s="259" t="s">
        <v>449</v>
      </c>
      <c r="U19" s="58"/>
      <c r="V19" s="61"/>
      <c r="W19" s="61"/>
      <c r="X19" s="58"/>
      <c r="Y19" s="58"/>
      <c r="Z19" s="58"/>
      <c r="AA19" s="58"/>
      <c r="AB19" s="58"/>
      <c r="AC19" s="58"/>
      <c r="AD19" s="58"/>
      <c r="AE19" s="58"/>
      <c r="AF19" s="58"/>
      <c r="AG19" s="58"/>
      <c r="AH19" s="58"/>
      <c r="AI19" s="58"/>
      <c r="AJ19" s="58"/>
      <c r="AK19" s="58"/>
    </row>
    <row r="20" spans="2:37" s="56" customFormat="1" ht="44.1" customHeight="1">
      <c r="B20" s="924"/>
      <c r="C20" s="925"/>
      <c r="D20" s="926"/>
      <c r="E20" s="808"/>
      <c r="F20" s="803"/>
      <c r="G20" s="808"/>
      <c r="H20" s="808"/>
      <c r="I20" s="812"/>
      <c r="J20" s="772" t="s">
        <v>798</v>
      </c>
      <c r="K20" s="773"/>
      <c r="L20" s="250">
        <v>7400</v>
      </c>
      <c r="M20" s="212"/>
      <c r="N20" s="774" t="s">
        <v>454</v>
      </c>
      <c r="O20" s="775"/>
      <c r="P20" s="258"/>
      <c r="Q20" s="256"/>
      <c r="R20" s="256"/>
      <c r="S20" s="256"/>
      <c r="T20" s="259" t="s">
        <v>449</v>
      </c>
      <c r="V20" s="61"/>
      <c r="W20" s="61"/>
      <c r="X20" s="58"/>
      <c r="Y20" s="58"/>
      <c r="Z20" s="58"/>
      <c r="AA20" s="58"/>
      <c r="AB20" s="58"/>
      <c r="AC20" s="58"/>
      <c r="AD20" s="58"/>
      <c r="AE20" s="58"/>
      <c r="AF20" s="58"/>
      <c r="AG20" s="58"/>
      <c r="AH20" s="58"/>
      <c r="AI20" s="58"/>
      <c r="AJ20" s="58"/>
      <c r="AK20" s="58"/>
    </row>
    <row r="21" spans="2:37" s="56" customFormat="1" ht="44.1" customHeight="1">
      <c r="B21" s="924"/>
      <c r="C21" s="925"/>
      <c r="D21" s="926"/>
      <c r="E21" s="808"/>
      <c r="F21" s="803"/>
      <c r="G21" s="808"/>
      <c r="H21" s="808"/>
      <c r="I21" s="812"/>
      <c r="J21" s="772" t="s">
        <v>799</v>
      </c>
      <c r="K21" s="773"/>
      <c r="L21" s="240" t="s">
        <v>863</v>
      </c>
      <c r="M21" s="207"/>
      <c r="N21" s="774" t="s">
        <v>456</v>
      </c>
      <c r="O21" s="775"/>
      <c r="P21" s="258"/>
      <c r="Q21" s="256"/>
      <c r="R21" s="256"/>
      <c r="S21" s="256"/>
      <c r="T21" s="259" t="s">
        <v>449</v>
      </c>
      <c r="V21" s="61"/>
      <c r="W21" s="61"/>
      <c r="X21" s="58"/>
      <c r="Y21" s="58"/>
      <c r="Z21" s="58"/>
      <c r="AA21" s="58"/>
      <c r="AB21" s="58"/>
      <c r="AC21" s="58"/>
      <c r="AD21" s="58"/>
      <c r="AE21" s="58"/>
      <c r="AF21" s="58"/>
      <c r="AG21" s="58"/>
      <c r="AH21" s="58"/>
      <c r="AI21" s="58"/>
      <c r="AJ21" s="58"/>
      <c r="AK21" s="58"/>
    </row>
    <row r="22" spans="2:37" s="56" customFormat="1" ht="44.1" customHeight="1">
      <c r="B22" s="924"/>
      <c r="C22" s="925"/>
      <c r="D22" s="926"/>
      <c r="E22" s="808"/>
      <c r="F22" s="803"/>
      <c r="G22" s="808"/>
      <c r="H22" s="808"/>
      <c r="I22" s="812"/>
      <c r="J22" s="772" t="s">
        <v>432</v>
      </c>
      <c r="K22" s="773"/>
      <c r="L22" s="167"/>
      <c r="M22" s="213"/>
      <c r="N22" s="774" t="s">
        <v>455</v>
      </c>
      <c r="O22" s="775"/>
      <c r="P22" s="258"/>
      <c r="Q22" s="256"/>
      <c r="R22" s="256"/>
      <c r="S22" s="256"/>
      <c r="T22" s="259" t="s">
        <v>449</v>
      </c>
      <c r="V22" s="61"/>
      <c r="W22" s="61"/>
      <c r="X22" s="58"/>
      <c r="Y22" s="58"/>
      <c r="Z22" s="58"/>
      <c r="AA22" s="58"/>
      <c r="AB22" s="58"/>
      <c r="AC22" s="58"/>
      <c r="AD22" s="58"/>
      <c r="AE22" s="58"/>
      <c r="AF22" s="58"/>
      <c r="AG22" s="58"/>
      <c r="AH22" s="58"/>
      <c r="AI22" s="58"/>
      <c r="AJ22" s="58"/>
      <c r="AK22" s="58"/>
    </row>
    <row r="23" spans="2:37" s="56" customFormat="1" ht="44.1" customHeight="1">
      <c r="B23" s="924"/>
      <c r="C23" s="925"/>
      <c r="D23" s="926"/>
      <c r="E23" s="808"/>
      <c r="F23" s="803"/>
      <c r="G23" s="808"/>
      <c r="H23" s="808"/>
      <c r="I23" s="812"/>
      <c r="J23" s="772" t="s">
        <v>792</v>
      </c>
      <c r="K23" s="773"/>
      <c r="L23" s="179">
        <v>10.5</v>
      </c>
      <c r="M23" s="209"/>
      <c r="N23" s="833" t="s">
        <v>770</v>
      </c>
      <c r="O23" s="834"/>
      <c r="P23" s="232"/>
      <c r="Q23" s="232"/>
      <c r="R23" s="232"/>
      <c r="S23" s="232"/>
      <c r="T23" s="257" t="s">
        <v>449</v>
      </c>
      <c r="V23" s="61"/>
      <c r="W23" s="61"/>
      <c r="X23" s="58"/>
      <c r="Y23" s="58"/>
      <c r="Z23" s="58"/>
      <c r="AA23" s="58"/>
      <c r="AB23" s="58"/>
      <c r="AC23" s="58"/>
      <c r="AD23" s="58"/>
      <c r="AE23" s="58"/>
      <c r="AF23" s="58"/>
      <c r="AG23" s="58"/>
      <c r="AH23" s="58"/>
      <c r="AI23" s="58"/>
      <c r="AJ23" s="58"/>
      <c r="AK23" s="58"/>
    </row>
    <row r="24" spans="2:37" s="56" customFormat="1" ht="44.1" customHeight="1" thickBot="1">
      <c r="B24" s="927"/>
      <c r="C24" s="928"/>
      <c r="D24" s="929"/>
      <c r="E24" s="809"/>
      <c r="F24" s="869"/>
      <c r="G24" s="809"/>
      <c r="H24" s="809"/>
      <c r="I24" s="813"/>
      <c r="J24" s="772" t="s">
        <v>804</v>
      </c>
      <c r="K24" s="773"/>
      <c r="L24" s="179"/>
      <c r="M24" s="209"/>
      <c r="N24" s="833" t="s">
        <v>771</v>
      </c>
      <c r="O24" s="834"/>
      <c r="P24" s="232"/>
      <c r="Q24" s="232"/>
      <c r="R24" s="232"/>
      <c r="S24" s="232"/>
      <c r="T24" s="257" t="s">
        <v>449</v>
      </c>
      <c r="V24" s="61"/>
      <c r="W24" s="61"/>
      <c r="X24" s="58"/>
      <c r="Y24" s="58"/>
      <c r="Z24" s="58"/>
      <c r="AA24" s="58"/>
      <c r="AB24" s="58"/>
      <c r="AC24" s="58"/>
      <c r="AD24" s="58"/>
      <c r="AE24" s="58"/>
      <c r="AF24" s="58"/>
      <c r="AG24" s="58"/>
      <c r="AH24" s="58"/>
      <c r="AI24" s="58"/>
      <c r="AJ24" s="58"/>
      <c r="AK24" s="58"/>
    </row>
    <row r="25" spans="2:37" s="56" customFormat="1" ht="44.1" customHeight="1">
      <c r="B25" s="820" t="s">
        <v>640</v>
      </c>
      <c r="C25" s="821"/>
      <c r="D25" s="821"/>
      <c r="E25" s="835">
        <v>4.32</v>
      </c>
      <c r="F25" s="835"/>
      <c r="G25" s="837"/>
      <c r="H25" s="837"/>
      <c r="I25" s="838"/>
      <c r="J25" s="772" t="s">
        <v>803</v>
      </c>
      <c r="K25" s="773"/>
      <c r="L25" s="179"/>
      <c r="M25" s="209"/>
      <c r="N25" s="833" t="s">
        <v>772</v>
      </c>
      <c r="O25" s="834"/>
      <c r="P25" s="232"/>
      <c r="Q25" s="232"/>
      <c r="R25" s="232"/>
      <c r="S25" s="232"/>
      <c r="T25" s="257" t="s">
        <v>449</v>
      </c>
      <c r="U25" s="58"/>
      <c r="V25" s="62"/>
      <c r="W25" s="62"/>
      <c r="X25" s="58"/>
      <c r="Y25" s="58"/>
      <c r="Z25" s="58"/>
      <c r="AA25" s="58"/>
      <c r="AB25" s="58"/>
      <c r="AC25" s="58"/>
      <c r="AD25" s="58"/>
      <c r="AE25" s="58"/>
      <c r="AF25" s="58"/>
      <c r="AG25" s="58"/>
      <c r="AH25" s="58"/>
      <c r="AI25" s="58"/>
      <c r="AJ25" s="58"/>
      <c r="AK25" s="58"/>
    </row>
    <row r="26" spans="2:37" s="56" customFormat="1" ht="44.1" customHeight="1">
      <c r="B26" s="822"/>
      <c r="C26" s="823"/>
      <c r="D26" s="823"/>
      <c r="E26" s="836"/>
      <c r="F26" s="836"/>
      <c r="G26" s="839"/>
      <c r="H26" s="839"/>
      <c r="I26" s="840"/>
      <c r="J26" s="772" t="s">
        <v>819</v>
      </c>
      <c r="K26" s="773"/>
      <c r="L26" s="179">
        <v>320</v>
      </c>
      <c r="M26" s="209"/>
      <c r="N26" s="774" t="s">
        <v>781</v>
      </c>
      <c r="O26" s="775"/>
      <c r="P26" s="258"/>
      <c r="Q26" s="256"/>
      <c r="R26" s="256"/>
      <c r="S26" s="256"/>
      <c r="T26" s="257" t="s">
        <v>449</v>
      </c>
      <c r="U26" s="58"/>
      <c r="V26" s="61"/>
      <c r="W26" s="58"/>
      <c r="X26" s="58"/>
      <c r="Y26" s="58"/>
      <c r="Z26" s="58"/>
      <c r="AA26" s="58"/>
      <c r="AB26" s="58"/>
      <c r="AC26" s="61"/>
      <c r="AD26" s="58"/>
      <c r="AE26" s="58"/>
      <c r="AF26" s="58"/>
      <c r="AG26" s="58"/>
      <c r="AH26" s="58"/>
      <c r="AI26" s="58"/>
      <c r="AJ26" s="58"/>
      <c r="AK26" s="58"/>
    </row>
    <row r="27" spans="2:37" s="56" customFormat="1" ht="44.1" customHeight="1">
      <c r="B27" s="854" t="s">
        <v>695</v>
      </c>
      <c r="C27" s="855"/>
      <c r="D27" s="855"/>
      <c r="E27" s="818">
        <v>70</v>
      </c>
      <c r="F27" s="818"/>
      <c r="G27" s="944"/>
      <c r="H27" s="944"/>
      <c r="I27" s="945"/>
      <c r="J27" s="772" t="s">
        <v>791</v>
      </c>
      <c r="K27" s="773"/>
      <c r="L27" s="179"/>
      <c r="M27" s="209"/>
      <c r="N27" s="774" t="s">
        <v>780</v>
      </c>
      <c r="O27" s="775"/>
      <c r="P27" s="258"/>
      <c r="Q27" s="256"/>
      <c r="R27" s="256"/>
      <c r="S27" s="256"/>
      <c r="T27" s="257" t="s">
        <v>449</v>
      </c>
      <c r="U27" s="58"/>
      <c r="V27" s="61"/>
      <c r="W27" s="58"/>
      <c r="X27" s="58"/>
      <c r="AC27" s="61"/>
      <c r="AD27" s="58"/>
    </row>
    <row r="28" spans="2:37" s="56" customFormat="1" ht="44.1" customHeight="1">
      <c r="B28" s="857" t="s">
        <v>694</v>
      </c>
      <c r="C28" s="858"/>
      <c r="D28" s="858"/>
      <c r="E28" s="818">
        <v>76</v>
      </c>
      <c r="F28" s="818"/>
      <c r="G28" s="946"/>
      <c r="H28" s="944"/>
      <c r="I28" s="945"/>
      <c r="J28" s="816"/>
      <c r="K28" s="817"/>
      <c r="L28" s="178"/>
      <c r="M28" s="209"/>
      <c r="N28" s="774" t="s">
        <v>790</v>
      </c>
      <c r="O28" s="775"/>
      <c r="P28" s="258"/>
      <c r="Q28" s="256"/>
      <c r="R28" s="256"/>
      <c r="S28" s="256">
        <v>80</v>
      </c>
      <c r="T28" s="257" t="s">
        <v>449</v>
      </c>
      <c r="U28" s="63"/>
      <c r="V28" s="62"/>
      <c r="W28" s="58"/>
      <c r="X28" s="58"/>
      <c r="AC28" s="62"/>
      <c r="AD28" s="58"/>
    </row>
    <row r="29" spans="2:37" s="56" customFormat="1" ht="44.1" customHeight="1">
      <c r="B29" s="854" t="s">
        <v>693</v>
      </c>
      <c r="C29" s="855"/>
      <c r="D29" s="855"/>
      <c r="E29" s="818">
        <v>8.5</v>
      </c>
      <c r="F29" s="818"/>
      <c r="G29" s="944"/>
      <c r="H29" s="944"/>
      <c r="I29" s="945"/>
      <c r="J29" s="816"/>
      <c r="K29" s="817"/>
      <c r="L29" s="214"/>
      <c r="M29" s="215"/>
      <c r="N29" s="774" t="s">
        <v>457</v>
      </c>
      <c r="O29" s="775"/>
      <c r="P29" s="258"/>
      <c r="Q29" s="256"/>
      <c r="R29" s="256"/>
      <c r="S29" s="256"/>
      <c r="T29" s="257" t="s">
        <v>446</v>
      </c>
      <c r="U29" s="63"/>
      <c r="V29" s="62"/>
      <c r="W29" s="58"/>
      <c r="X29" s="58"/>
      <c r="AC29" s="62"/>
      <c r="AD29" s="58"/>
    </row>
    <row r="30" spans="2:37" s="56" customFormat="1" ht="44.1" customHeight="1">
      <c r="B30" s="854" t="s">
        <v>692</v>
      </c>
      <c r="C30" s="855"/>
      <c r="D30" s="855"/>
      <c r="E30" s="818">
        <v>14</v>
      </c>
      <c r="F30" s="818"/>
      <c r="G30" s="946"/>
      <c r="H30" s="944"/>
      <c r="I30" s="945"/>
      <c r="J30" s="814"/>
      <c r="K30" s="815"/>
      <c r="L30" s="216"/>
      <c r="M30" s="208"/>
      <c r="N30" s="774" t="s">
        <v>782</v>
      </c>
      <c r="O30" s="775"/>
      <c r="P30" s="258"/>
      <c r="Q30" s="256"/>
      <c r="R30" s="256"/>
      <c r="S30" s="256"/>
      <c r="T30" s="257" t="s">
        <v>448</v>
      </c>
      <c r="U30" s="63"/>
      <c r="V30" s="58"/>
      <c r="W30" s="58"/>
    </row>
    <row r="31" spans="2:37" s="56" customFormat="1" ht="44.1" customHeight="1">
      <c r="B31" s="854" t="s">
        <v>691</v>
      </c>
      <c r="C31" s="855"/>
      <c r="D31" s="855"/>
      <c r="E31" s="818">
        <f>E28/E30</f>
        <v>5.4285714285714288</v>
      </c>
      <c r="F31" s="818"/>
      <c r="G31" s="944"/>
      <c r="H31" s="944"/>
      <c r="I31" s="945"/>
      <c r="J31" s="814"/>
      <c r="K31" s="815"/>
      <c r="L31" s="216"/>
      <c r="M31" s="217"/>
      <c r="N31" s="774" t="s">
        <v>835</v>
      </c>
      <c r="O31" s="775"/>
      <c r="P31" s="258"/>
      <c r="Q31" s="256"/>
      <c r="R31" s="256"/>
      <c r="S31" s="256"/>
      <c r="T31" s="259" t="s">
        <v>448</v>
      </c>
      <c r="U31" s="63"/>
      <c r="V31" s="58"/>
      <c r="W31" s="58"/>
    </row>
    <row r="32" spans="2:37" s="64" customFormat="1" ht="44.1" customHeight="1" thickBot="1">
      <c r="B32" s="947" t="s">
        <v>690</v>
      </c>
      <c r="C32" s="948"/>
      <c r="D32" s="948"/>
      <c r="E32" s="819"/>
      <c r="F32" s="819"/>
      <c r="G32" s="839"/>
      <c r="H32" s="839"/>
      <c r="I32" s="840"/>
      <c r="J32" s="810"/>
      <c r="K32" s="811"/>
      <c r="L32" s="223"/>
      <c r="M32" s="224"/>
      <c r="N32" s="774" t="s">
        <v>774</v>
      </c>
      <c r="O32" s="775"/>
      <c r="P32" s="258"/>
      <c r="Q32" s="256"/>
      <c r="R32" s="256"/>
      <c r="S32" s="256"/>
      <c r="T32" s="257" t="s">
        <v>449</v>
      </c>
      <c r="V32" s="63"/>
      <c r="W32" s="63"/>
    </row>
    <row r="33" spans="2:23" s="64" customFormat="1" ht="44.1" customHeight="1" thickBot="1">
      <c r="B33" s="859" t="s">
        <v>667</v>
      </c>
      <c r="C33" s="860"/>
      <c r="D33" s="860"/>
      <c r="E33" s="939" t="s">
        <v>975</v>
      </c>
      <c r="F33" s="939"/>
      <c r="G33" s="892"/>
      <c r="H33" s="893"/>
      <c r="I33" s="894"/>
      <c r="J33" s="936" t="s">
        <v>865</v>
      </c>
      <c r="K33" s="937"/>
      <c r="L33" s="937"/>
      <c r="M33" s="938"/>
      <c r="N33" s="772" t="s">
        <v>775</v>
      </c>
      <c r="O33" s="773"/>
      <c r="P33" s="258"/>
      <c r="Q33" s="256"/>
      <c r="R33" s="256"/>
      <c r="S33" s="256"/>
      <c r="T33" s="238" t="s">
        <v>448</v>
      </c>
      <c r="V33" s="63"/>
      <c r="W33" s="63"/>
    </row>
    <row r="34" spans="2:23" s="64" customFormat="1" ht="44.1" customHeight="1">
      <c r="B34" s="949" t="s">
        <v>701</v>
      </c>
      <c r="C34" s="950"/>
      <c r="D34" s="950"/>
      <c r="E34" s="942" t="s">
        <v>978</v>
      </c>
      <c r="F34" s="942"/>
      <c r="G34" s="942"/>
      <c r="H34" s="942"/>
      <c r="I34" s="943"/>
      <c r="J34" s="772" t="s">
        <v>805</v>
      </c>
      <c r="K34" s="773"/>
      <c r="L34" s="776">
        <v>218</v>
      </c>
      <c r="M34" s="777"/>
      <c r="N34" s="774" t="s">
        <v>485</v>
      </c>
      <c r="O34" s="775"/>
      <c r="P34" s="258"/>
      <c r="Q34" s="256"/>
      <c r="R34" s="256"/>
      <c r="S34" s="256">
        <v>12</v>
      </c>
      <c r="T34" s="257" t="s">
        <v>486</v>
      </c>
      <c r="V34" s="63"/>
      <c r="W34" s="63"/>
    </row>
    <row r="35" spans="2:23" s="64" customFormat="1" ht="44.1" customHeight="1">
      <c r="B35" s="854" t="s">
        <v>702</v>
      </c>
      <c r="C35" s="855"/>
      <c r="D35" s="855"/>
      <c r="E35" s="222" t="s">
        <v>489</v>
      </c>
      <c r="F35" s="222" t="s">
        <v>490</v>
      </c>
      <c r="G35" s="941" t="s">
        <v>489</v>
      </c>
      <c r="H35" s="941"/>
      <c r="I35" s="295" t="s">
        <v>490</v>
      </c>
      <c r="J35" s="772" t="s">
        <v>806</v>
      </c>
      <c r="K35" s="773"/>
      <c r="L35" s="778">
        <v>758</v>
      </c>
      <c r="M35" s="779"/>
      <c r="N35" s="774" t="s">
        <v>783</v>
      </c>
      <c r="O35" s="775"/>
      <c r="P35" s="258"/>
      <c r="Q35" s="256"/>
      <c r="R35" s="256"/>
      <c r="S35" s="256"/>
      <c r="T35" s="257" t="s">
        <v>448</v>
      </c>
    </row>
    <row r="36" spans="2:23" s="64" customFormat="1" ht="44.1" customHeight="1" thickBot="1">
      <c r="B36" s="901"/>
      <c r="C36" s="902"/>
      <c r="D36" s="902"/>
      <c r="E36" s="285" t="s">
        <v>976</v>
      </c>
      <c r="F36" s="285" t="s">
        <v>977</v>
      </c>
      <c r="G36" s="940"/>
      <c r="H36" s="940"/>
      <c r="I36" s="296"/>
      <c r="J36" s="772" t="s">
        <v>463</v>
      </c>
      <c r="K36" s="773"/>
      <c r="L36" s="778"/>
      <c r="M36" s="779"/>
      <c r="N36" s="774" t="s">
        <v>784</v>
      </c>
      <c r="O36" s="775"/>
      <c r="P36" s="258"/>
      <c r="Q36" s="256"/>
      <c r="R36" s="256"/>
      <c r="S36" s="256"/>
      <c r="T36" s="257" t="s">
        <v>448</v>
      </c>
    </row>
    <row r="37" spans="2:23" s="64" customFormat="1" ht="44.1" customHeight="1">
      <c r="B37" s="930" t="s">
        <v>507</v>
      </c>
      <c r="C37" s="931"/>
      <c r="D37" s="931"/>
      <c r="E37" s="292" t="s">
        <v>489</v>
      </c>
      <c r="F37" s="292" t="s">
        <v>490</v>
      </c>
      <c r="G37" s="895" t="s">
        <v>489</v>
      </c>
      <c r="H37" s="895"/>
      <c r="I37" s="293" t="s">
        <v>490</v>
      </c>
      <c r="J37" s="772" t="s">
        <v>807</v>
      </c>
      <c r="K37" s="773"/>
      <c r="L37" s="778">
        <v>158</v>
      </c>
      <c r="M37" s="779"/>
      <c r="N37" s="772" t="s">
        <v>785</v>
      </c>
      <c r="O37" s="773"/>
      <c r="P37" s="258"/>
      <c r="Q37" s="256"/>
      <c r="R37" s="236"/>
      <c r="S37" s="256"/>
      <c r="T37" s="257" t="s">
        <v>448</v>
      </c>
      <c r="U37" s="58"/>
    </row>
    <row r="38" spans="2:23" s="64" customFormat="1" ht="44.1" customHeight="1">
      <c r="B38" s="934" t="s">
        <v>703</v>
      </c>
      <c r="C38" s="935"/>
      <c r="D38" s="935"/>
      <c r="E38" s="283" t="s">
        <v>947</v>
      </c>
      <c r="F38" s="283" t="s">
        <v>979</v>
      </c>
      <c r="G38" s="919"/>
      <c r="H38" s="919"/>
      <c r="I38" s="294"/>
      <c r="J38" s="772" t="s">
        <v>872</v>
      </c>
      <c r="K38" s="773"/>
      <c r="L38" s="179">
        <v>270</v>
      </c>
      <c r="M38" s="255">
        <v>71</v>
      </c>
      <c r="N38" s="774" t="s">
        <v>786</v>
      </c>
      <c r="O38" s="775"/>
      <c r="P38" s="258"/>
      <c r="Q38" s="258"/>
      <c r="R38" s="256"/>
      <c r="S38" s="256"/>
      <c r="T38" s="238" t="s">
        <v>448</v>
      </c>
      <c r="U38" s="58"/>
    </row>
    <row r="39" spans="2:23" s="64" customFormat="1" ht="44.1" customHeight="1">
      <c r="B39" s="854" t="s">
        <v>558</v>
      </c>
      <c r="C39" s="855"/>
      <c r="D39" s="855"/>
      <c r="E39" s="283"/>
      <c r="F39" s="283"/>
      <c r="G39" s="919"/>
      <c r="H39" s="919"/>
      <c r="I39" s="294"/>
      <c r="J39" s="235" t="s">
        <v>873</v>
      </c>
      <c r="K39" s="236"/>
      <c r="L39" s="179">
        <v>330</v>
      </c>
      <c r="M39" s="255">
        <v>72</v>
      </c>
      <c r="N39" s="772" t="s">
        <v>481</v>
      </c>
      <c r="O39" s="773"/>
      <c r="P39" s="258"/>
      <c r="Q39" s="256"/>
      <c r="R39" s="256"/>
      <c r="S39" s="256"/>
      <c r="T39" s="238" t="s">
        <v>448</v>
      </c>
      <c r="U39" s="58"/>
    </row>
    <row r="40" spans="2:23" s="64" customFormat="1" ht="44.1" customHeight="1">
      <c r="B40" s="934" t="s">
        <v>704</v>
      </c>
      <c r="C40" s="935"/>
      <c r="D40" s="935"/>
      <c r="E40" s="283" t="s">
        <v>948</v>
      </c>
      <c r="F40" s="283" t="s">
        <v>980</v>
      </c>
      <c r="G40" s="919"/>
      <c r="H40" s="919"/>
      <c r="I40" s="294"/>
      <c r="J40" s="772" t="s">
        <v>773</v>
      </c>
      <c r="K40" s="773"/>
      <c r="L40" s="179">
        <v>190</v>
      </c>
      <c r="M40" s="255">
        <v>70</v>
      </c>
      <c r="N40" s="833" t="s">
        <v>809</v>
      </c>
      <c r="O40" s="834"/>
      <c r="P40" s="232"/>
      <c r="Q40" s="232"/>
      <c r="R40" s="232"/>
      <c r="S40" s="232"/>
      <c r="T40" s="257" t="s">
        <v>449</v>
      </c>
      <c r="U40" s="58"/>
    </row>
    <row r="41" spans="2:23" s="64" customFormat="1" ht="44.1" customHeight="1">
      <c r="B41" s="934" t="s">
        <v>484</v>
      </c>
      <c r="C41" s="935"/>
      <c r="D41" s="935"/>
      <c r="E41" s="283" t="s">
        <v>981</v>
      </c>
      <c r="F41" s="283" t="s">
        <v>982</v>
      </c>
      <c r="G41" s="919"/>
      <c r="H41" s="919"/>
      <c r="I41" s="294"/>
      <c r="J41" s="772" t="s">
        <v>864</v>
      </c>
      <c r="K41" s="773"/>
      <c r="L41" s="179">
        <v>45</v>
      </c>
      <c r="M41" s="255">
        <v>70</v>
      </c>
      <c r="N41" s="890" t="s">
        <v>852</v>
      </c>
      <c r="O41" s="891"/>
      <c r="P41" s="232"/>
      <c r="Q41" s="232"/>
      <c r="R41" s="232"/>
      <c r="S41" s="232">
        <v>80</v>
      </c>
      <c r="T41" s="257" t="s">
        <v>449</v>
      </c>
      <c r="U41" s="58"/>
    </row>
    <row r="42" spans="2:23" s="64" customFormat="1" ht="44.1" customHeight="1" thickBot="1">
      <c r="B42" s="932" t="s">
        <v>705</v>
      </c>
      <c r="C42" s="933"/>
      <c r="D42" s="933"/>
      <c r="E42" s="288" t="s">
        <v>983</v>
      </c>
      <c r="F42" s="288" t="s">
        <v>946</v>
      </c>
      <c r="G42" s="856"/>
      <c r="H42" s="856"/>
      <c r="I42" s="297"/>
      <c r="J42" s="772" t="s">
        <v>866</v>
      </c>
      <c r="K42" s="773"/>
      <c r="L42" s="179">
        <v>90</v>
      </c>
      <c r="M42" s="255">
        <v>62</v>
      </c>
      <c r="N42" s="792"/>
      <c r="O42" s="793"/>
      <c r="P42" s="162"/>
      <c r="Q42" s="162"/>
      <c r="R42" s="162"/>
      <c r="S42" s="162"/>
      <c r="T42" s="204"/>
      <c r="U42" s="58"/>
    </row>
    <row r="43" spans="2:23" s="64" customFormat="1" ht="44.1" customHeight="1">
      <c r="B43" s="286" t="s">
        <v>836</v>
      </c>
      <c r="C43" s="289" t="s">
        <v>916</v>
      </c>
      <c r="D43" s="289" t="s">
        <v>918</v>
      </c>
      <c r="E43" s="289" t="s">
        <v>917</v>
      </c>
      <c r="F43" s="289"/>
      <c r="G43" s="289" t="s">
        <v>916</v>
      </c>
      <c r="H43" s="289" t="s">
        <v>918</v>
      </c>
      <c r="I43" s="290" t="s">
        <v>917</v>
      </c>
      <c r="J43" s="920" t="s">
        <v>867</v>
      </c>
      <c r="K43" s="773"/>
      <c r="L43" s="179"/>
      <c r="M43" s="255"/>
      <c r="N43" s="917"/>
      <c r="O43" s="918"/>
      <c r="P43" s="206"/>
      <c r="Q43" s="206"/>
      <c r="R43" s="203"/>
      <c r="S43" s="203"/>
      <c r="T43" s="183"/>
      <c r="U43" s="58"/>
    </row>
    <row r="44" spans="2:23" s="64" customFormat="1" ht="44.1" customHeight="1">
      <c r="B44" s="284" t="s">
        <v>920</v>
      </c>
      <c r="C44" s="146"/>
      <c r="D44" s="146"/>
      <c r="E44" s="146"/>
      <c r="F44" s="282" t="s">
        <v>922</v>
      </c>
      <c r="G44" s="146"/>
      <c r="H44" s="298"/>
      <c r="I44" s="299"/>
      <c r="J44" s="920" t="s">
        <v>870</v>
      </c>
      <c r="K44" s="773"/>
      <c r="L44" s="233" t="s">
        <v>995</v>
      </c>
      <c r="M44" s="255">
        <v>72</v>
      </c>
      <c r="N44" s="816"/>
      <c r="O44" s="817"/>
      <c r="P44" s="206"/>
      <c r="Q44" s="203"/>
      <c r="R44" s="203"/>
      <c r="S44" s="203"/>
      <c r="T44" s="183"/>
      <c r="U44" s="58"/>
    </row>
    <row r="45" spans="2:23" s="64" customFormat="1" ht="44.1" customHeight="1" thickBot="1">
      <c r="B45" s="287" t="s">
        <v>921</v>
      </c>
      <c r="C45" s="126"/>
      <c r="D45" s="126"/>
      <c r="E45" s="126"/>
      <c r="F45" s="300"/>
      <c r="G45" s="126"/>
      <c r="H45" s="126"/>
      <c r="I45" s="291"/>
      <c r="J45" s="920" t="s">
        <v>868</v>
      </c>
      <c r="K45" s="773"/>
      <c r="L45" s="179"/>
      <c r="M45" s="255"/>
      <c r="N45" s="792"/>
      <c r="O45" s="793"/>
      <c r="P45" s="202"/>
      <c r="Q45" s="202"/>
      <c r="R45" s="202"/>
      <c r="S45" s="202"/>
      <c r="T45" s="218"/>
      <c r="U45" s="58"/>
    </row>
    <row r="46" spans="2:23" s="64" customFormat="1" ht="44.1" customHeight="1" thickBot="1">
      <c r="B46" s="912" t="s">
        <v>987</v>
      </c>
      <c r="C46" s="913"/>
      <c r="D46" s="913"/>
      <c r="E46" s="913"/>
      <c r="F46" s="914" t="s">
        <v>858</v>
      </c>
      <c r="G46" s="915"/>
      <c r="H46" s="915"/>
      <c r="I46" s="916"/>
      <c r="J46" s="772" t="s">
        <v>869</v>
      </c>
      <c r="K46" s="773"/>
      <c r="L46" s="179">
        <v>95</v>
      </c>
      <c r="M46" s="255">
        <v>71</v>
      </c>
      <c r="N46" s="792"/>
      <c r="O46" s="793"/>
      <c r="P46" s="202"/>
      <c r="Q46" s="202"/>
      <c r="R46" s="202"/>
      <c r="S46" s="202"/>
      <c r="T46" s="218"/>
      <c r="U46" s="62"/>
    </row>
    <row r="47" spans="2:23" s="64" customFormat="1" ht="44.1" customHeight="1">
      <c r="B47" s="157" t="s">
        <v>34</v>
      </c>
      <c r="C47" s="158" t="s">
        <v>96</v>
      </c>
      <c r="D47" s="158" t="s">
        <v>35</v>
      </c>
      <c r="E47" s="159" t="s">
        <v>442</v>
      </c>
      <c r="F47" s="160" t="s">
        <v>34</v>
      </c>
      <c r="G47" s="158" t="s">
        <v>96</v>
      </c>
      <c r="H47" s="158" t="s">
        <v>35</v>
      </c>
      <c r="I47" s="161" t="s">
        <v>442</v>
      </c>
      <c r="J47" s="772" t="s">
        <v>871</v>
      </c>
      <c r="K47" s="773"/>
      <c r="L47" s="179">
        <v>95</v>
      </c>
      <c r="M47" s="255">
        <v>71</v>
      </c>
      <c r="N47" s="792"/>
      <c r="O47" s="793"/>
      <c r="P47" s="202"/>
      <c r="Q47" s="202"/>
      <c r="R47" s="202"/>
      <c r="S47" s="202"/>
      <c r="T47" s="218"/>
      <c r="U47" s="58"/>
    </row>
    <row r="48" spans="2:23" s="64" customFormat="1" ht="44.1" customHeight="1">
      <c r="B48" s="153" t="s">
        <v>949</v>
      </c>
      <c r="C48" s="154">
        <v>17.5</v>
      </c>
      <c r="D48" s="155">
        <v>0.41</v>
      </c>
      <c r="E48" s="156">
        <f>D48</f>
        <v>0.41</v>
      </c>
      <c r="F48" s="143"/>
      <c r="G48" s="151"/>
      <c r="H48" s="146"/>
      <c r="I48" s="108"/>
      <c r="J48" s="772" t="s">
        <v>919</v>
      </c>
      <c r="K48" s="773"/>
      <c r="L48" s="179">
        <v>80</v>
      </c>
      <c r="M48" s="255">
        <v>71</v>
      </c>
      <c r="N48" s="888"/>
      <c r="O48" s="889"/>
      <c r="P48" s="202"/>
      <c r="Q48" s="202"/>
      <c r="R48" s="202"/>
      <c r="S48" s="202"/>
      <c r="T48" s="219"/>
      <c r="U48" s="58"/>
    </row>
    <row r="49" spans="2:20" s="64" customFormat="1" ht="44.1" customHeight="1" thickBot="1">
      <c r="B49" s="153" t="s">
        <v>950</v>
      </c>
      <c r="C49" s="154">
        <v>9.5</v>
      </c>
      <c r="D49" s="155">
        <v>1.23</v>
      </c>
      <c r="E49" s="156">
        <f>D49+E48</f>
        <v>1.64</v>
      </c>
      <c r="F49" s="153"/>
      <c r="G49" s="151"/>
      <c r="H49" s="146"/>
      <c r="I49" s="108"/>
      <c r="J49" s="780"/>
      <c r="K49" s="781"/>
      <c r="L49" s="225"/>
      <c r="M49" s="226"/>
      <c r="N49" s="790"/>
      <c r="O49" s="791"/>
      <c r="P49" s="220"/>
      <c r="Q49" s="220"/>
      <c r="R49" s="220"/>
      <c r="S49" s="220"/>
      <c r="T49" s="221"/>
    </row>
    <row r="50" spans="2:20" s="64" customFormat="1" ht="44.1" customHeight="1" thickBot="1">
      <c r="B50" s="153" t="s">
        <v>951</v>
      </c>
      <c r="C50" s="154">
        <v>9.5</v>
      </c>
      <c r="D50" s="155">
        <v>18.04</v>
      </c>
      <c r="E50" s="326">
        <f t="shared" ref="E50:E56" si="0">D50+E49</f>
        <v>19.68</v>
      </c>
      <c r="F50" s="143"/>
      <c r="G50" s="151"/>
      <c r="H50" s="146"/>
      <c r="I50" s="144"/>
      <c r="J50" s="794" t="s">
        <v>444</v>
      </c>
      <c r="K50" s="795"/>
      <c r="L50" s="795"/>
      <c r="M50" s="795"/>
      <c r="N50" s="795"/>
      <c r="O50" s="795"/>
      <c r="P50" s="795"/>
      <c r="Q50" s="795"/>
      <c r="R50" s="795"/>
      <c r="S50" s="795"/>
      <c r="T50" s="796"/>
    </row>
    <row r="51" spans="2:20" s="64" customFormat="1" ht="44.1" customHeight="1">
      <c r="B51" s="153" t="s">
        <v>984</v>
      </c>
      <c r="C51" s="154">
        <v>17.5</v>
      </c>
      <c r="D51" s="155">
        <v>2.5499999999999998</v>
      </c>
      <c r="E51" s="326">
        <f t="shared" si="0"/>
        <v>22.23</v>
      </c>
      <c r="F51" s="143"/>
      <c r="G51" s="151"/>
      <c r="H51" s="146"/>
      <c r="I51" s="144"/>
      <c r="J51" s="784" t="s">
        <v>445</v>
      </c>
      <c r="K51" s="785"/>
      <c r="L51" s="783" t="s">
        <v>813</v>
      </c>
      <c r="M51" s="783"/>
      <c r="N51" s="783" t="s">
        <v>441</v>
      </c>
      <c r="O51" s="783"/>
      <c r="P51" s="783" t="s">
        <v>440</v>
      </c>
      <c r="Q51" s="783"/>
      <c r="R51" s="192"/>
      <c r="S51" s="192" t="s">
        <v>81</v>
      </c>
      <c r="T51" s="193"/>
    </row>
    <row r="52" spans="2:20" s="64" customFormat="1" ht="44.1" customHeight="1">
      <c r="B52" s="153" t="s">
        <v>951</v>
      </c>
      <c r="C52" s="154">
        <v>9.5</v>
      </c>
      <c r="D52" s="155">
        <v>34.44</v>
      </c>
      <c r="E52" s="330">
        <f t="shared" si="0"/>
        <v>56.67</v>
      </c>
      <c r="F52" s="143"/>
      <c r="G52" s="151"/>
      <c r="H52" s="146"/>
      <c r="I52" s="144"/>
      <c r="J52" s="1036" t="s">
        <v>950</v>
      </c>
      <c r="K52" s="1037"/>
      <c r="L52" s="1038" t="s">
        <v>1006</v>
      </c>
      <c r="M52" s="1038"/>
      <c r="N52" s="1038">
        <v>1515041004</v>
      </c>
      <c r="O52" s="1038"/>
      <c r="P52" s="1039">
        <v>8.5</v>
      </c>
      <c r="Q52" s="1039"/>
      <c r="R52" s="1039">
        <v>14</v>
      </c>
      <c r="S52" s="1039"/>
      <c r="T52" s="1040"/>
    </row>
    <row r="53" spans="2:20" s="64" customFormat="1" ht="44.1" customHeight="1">
      <c r="B53" s="153" t="s">
        <v>952</v>
      </c>
      <c r="C53" s="154">
        <v>9.5</v>
      </c>
      <c r="D53" s="155">
        <v>0.78</v>
      </c>
      <c r="E53" s="330">
        <f t="shared" si="0"/>
        <v>57.45</v>
      </c>
      <c r="F53" s="143"/>
      <c r="G53" s="151"/>
      <c r="H53" s="146"/>
      <c r="I53" s="144"/>
      <c r="J53" s="1036" t="s">
        <v>1002</v>
      </c>
      <c r="K53" s="1037"/>
      <c r="L53" s="1038" t="s">
        <v>1005</v>
      </c>
      <c r="M53" s="1038"/>
      <c r="N53" s="1038">
        <v>15013006</v>
      </c>
      <c r="O53" s="1038"/>
      <c r="P53" s="1039">
        <v>8.5</v>
      </c>
      <c r="Q53" s="1039"/>
      <c r="R53" s="1039">
        <v>8.5</v>
      </c>
      <c r="S53" s="1039"/>
      <c r="T53" s="1040"/>
    </row>
    <row r="54" spans="2:20" s="64" customFormat="1" ht="44.1" customHeight="1">
      <c r="B54" s="153" t="s">
        <v>985</v>
      </c>
      <c r="C54" s="154">
        <v>8.5</v>
      </c>
      <c r="D54" s="155">
        <v>49.594999999999999</v>
      </c>
      <c r="E54" s="330">
        <f t="shared" si="0"/>
        <v>107.045</v>
      </c>
      <c r="F54" s="143"/>
      <c r="G54" s="151"/>
      <c r="H54" s="146"/>
      <c r="I54" s="108"/>
      <c r="J54" s="1041" t="s">
        <v>1003</v>
      </c>
      <c r="K54" s="1042"/>
      <c r="L54" s="1043" t="s">
        <v>1004</v>
      </c>
      <c r="M54" s="1043"/>
      <c r="N54" s="1044" t="s">
        <v>1007</v>
      </c>
      <c r="O54" s="1043"/>
      <c r="P54" s="1045">
        <v>8.5</v>
      </c>
      <c r="Q54" s="1045"/>
      <c r="R54" s="1045">
        <v>14</v>
      </c>
      <c r="S54" s="1045"/>
      <c r="T54" s="1046"/>
    </row>
    <row r="55" spans="2:20" s="64" customFormat="1" ht="44.1" customHeight="1" thickBot="1">
      <c r="B55" s="153" t="s">
        <v>952</v>
      </c>
      <c r="C55" s="154">
        <v>6.625</v>
      </c>
      <c r="D55" s="155">
        <v>0.95</v>
      </c>
      <c r="E55" s="330">
        <f t="shared" si="0"/>
        <v>107.995</v>
      </c>
      <c r="F55" s="143"/>
      <c r="G55" s="151"/>
      <c r="H55" s="146"/>
      <c r="I55" s="108"/>
      <c r="J55" s="1047"/>
      <c r="K55" s="1048"/>
      <c r="L55" s="1043"/>
      <c r="M55" s="1043"/>
      <c r="N55" s="1049"/>
      <c r="O55" s="1049"/>
      <c r="P55" s="1045"/>
      <c r="Q55" s="1045"/>
      <c r="R55" s="1045"/>
      <c r="S55" s="1045"/>
      <c r="T55" s="1050"/>
    </row>
    <row r="56" spans="2:20" s="64" customFormat="1" ht="44.1" customHeight="1" thickBot="1">
      <c r="B56" s="143" t="s">
        <v>986</v>
      </c>
      <c r="C56" s="154">
        <v>5</v>
      </c>
      <c r="D56" s="155">
        <v>27.83</v>
      </c>
      <c r="E56" s="330">
        <f t="shared" si="0"/>
        <v>135.82499999999999</v>
      </c>
      <c r="F56" s="91"/>
      <c r="G56" s="120"/>
      <c r="H56" s="121"/>
      <c r="I56" s="108"/>
      <c r="J56" s="798" t="s">
        <v>789</v>
      </c>
      <c r="K56" s="799"/>
      <c r="L56" s="799"/>
      <c r="M56" s="799"/>
      <c r="N56" s="799"/>
      <c r="O56" s="799"/>
      <c r="P56" s="799"/>
      <c r="Q56" s="799"/>
      <c r="R56" s="799"/>
      <c r="S56" s="799"/>
      <c r="T56" s="800"/>
    </row>
    <row r="57" spans="2:20" s="64" customFormat="1" ht="44.1" customHeight="1">
      <c r="B57" s="143"/>
      <c r="C57" s="145"/>
      <c r="D57" s="146"/>
      <c r="E57" s="108"/>
      <c r="F57" s="91"/>
      <c r="G57" s="120"/>
      <c r="H57" s="121"/>
      <c r="I57" s="108"/>
      <c r="J57" s="191" t="s">
        <v>83</v>
      </c>
      <c r="K57" s="192" t="s">
        <v>36</v>
      </c>
      <c r="L57" s="192" t="s">
        <v>37</v>
      </c>
      <c r="M57" s="192" t="s">
        <v>38</v>
      </c>
      <c r="N57" s="192" t="s">
        <v>39</v>
      </c>
      <c r="O57" s="783" t="s">
        <v>40</v>
      </c>
      <c r="P57" s="783"/>
      <c r="Q57" s="783" t="s">
        <v>93</v>
      </c>
      <c r="R57" s="783"/>
      <c r="S57" s="192" t="s">
        <v>94</v>
      </c>
      <c r="T57" s="193" t="s">
        <v>41</v>
      </c>
    </row>
    <row r="58" spans="2:20" s="64" customFormat="1" ht="44.1" customHeight="1">
      <c r="B58" s="143"/>
      <c r="C58" s="145"/>
      <c r="D58" s="146"/>
      <c r="E58" s="108"/>
      <c r="F58" s="91"/>
      <c r="G58" s="120"/>
      <c r="H58" s="121"/>
      <c r="I58" s="108"/>
      <c r="J58" s="194">
        <v>50</v>
      </c>
      <c r="K58" s="195">
        <v>0</v>
      </c>
      <c r="L58" s="195"/>
      <c r="M58" s="196"/>
      <c r="N58" s="196"/>
      <c r="O58" s="786"/>
      <c r="P58" s="786"/>
      <c r="Q58" s="196"/>
      <c r="R58" s="196"/>
      <c r="S58" s="196"/>
      <c r="T58" s="166"/>
    </row>
    <row r="59" spans="2:20" s="64" customFormat="1" ht="44.1" customHeight="1">
      <c r="B59" s="143"/>
      <c r="C59" s="145"/>
      <c r="D59" s="146"/>
      <c r="E59" s="108"/>
      <c r="F59" s="91"/>
      <c r="G59" s="110"/>
      <c r="H59" s="111"/>
      <c r="I59" s="108"/>
      <c r="J59" s="197">
        <v>108</v>
      </c>
      <c r="K59" s="198">
        <v>0.25</v>
      </c>
      <c r="L59" s="198"/>
      <c r="M59" s="199"/>
      <c r="N59" s="199"/>
      <c r="O59" s="789"/>
      <c r="P59" s="789"/>
      <c r="Q59" s="199"/>
      <c r="R59" s="199"/>
      <c r="S59" s="199"/>
      <c r="T59" s="166"/>
    </row>
    <row r="60" spans="2:20" s="64" customFormat="1" ht="44.1" customHeight="1">
      <c r="B60" s="91"/>
      <c r="C60" s="101"/>
      <c r="D60" s="107"/>
      <c r="E60" s="108"/>
      <c r="F60" s="91"/>
      <c r="G60" s="110"/>
      <c r="H60" s="111"/>
      <c r="I60" s="108"/>
      <c r="J60" s="194">
        <v>146</v>
      </c>
      <c r="K60" s="195">
        <v>0.25</v>
      </c>
      <c r="L60" s="195"/>
      <c r="M60" s="196"/>
      <c r="N60" s="196"/>
      <c r="O60" s="786"/>
      <c r="P60" s="786"/>
      <c r="Q60" s="196"/>
      <c r="R60" s="196"/>
      <c r="S60" s="196"/>
      <c r="T60" s="166"/>
    </row>
    <row r="61" spans="2:20" s="64" customFormat="1" ht="44.1" customHeight="1">
      <c r="B61" s="91"/>
      <c r="C61" s="101"/>
      <c r="D61" s="107"/>
      <c r="E61" s="108"/>
      <c r="F61" s="91"/>
      <c r="G61" s="113"/>
      <c r="H61" s="114"/>
      <c r="I61" s="108"/>
      <c r="J61" s="194"/>
      <c r="K61" s="195"/>
      <c r="L61" s="195"/>
      <c r="M61" s="196"/>
      <c r="N61" s="196"/>
      <c r="O61" s="786"/>
      <c r="P61" s="786"/>
      <c r="Q61" s="196"/>
      <c r="R61" s="196"/>
      <c r="S61" s="196"/>
      <c r="T61" s="166"/>
    </row>
    <row r="62" spans="2:20" s="64" customFormat="1" ht="44.1" customHeight="1">
      <c r="B62" s="100"/>
      <c r="C62" s="101"/>
      <c r="D62" s="107"/>
      <c r="E62" s="98"/>
      <c r="F62" s="112"/>
      <c r="G62" s="113"/>
      <c r="H62" s="114"/>
      <c r="I62" s="108"/>
      <c r="J62" s="194"/>
      <c r="K62" s="195"/>
      <c r="L62" s="195"/>
      <c r="M62" s="196"/>
      <c r="N62" s="196"/>
      <c r="O62" s="786"/>
      <c r="P62" s="786"/>
      <c r="Q62" s="196"/>
      <c r="R62" s="196"/>
      <c r="S62" s="196"/>
      <c r="T62" s="166"/>
    </row>
    <row r="63" spans="2:20" s="64" customFormat="1" ht="44.1" customHeight="1">
      <c r="B63" s="91"/>
      <c r="C63" s="101"/>
      <c r="D63" s="107"/>
      <c r="E63" s="98"/>
      <c r="F63" s="91"/>
      <c r="G63" s="113"/>
      <c r="H63" s="114"/>
      <c r="I63" s="108"/>
      <c r="J63" s="131"/>
      <c r="K63" s="132"/>
      <c r="L63" s="132"/>
      <c r="M63" s="132"/>
      <c r="N63" s="132"/>
      <c r="O63" s="787"/>
      <c r="P63" s="787"/>
      <c r="Q63" s="698"/>
      <c r="R63" s="698"/>
      <c r="S63" s="132"/>
      <c r="T63" s="128"/>
    </row>
    <row r="64" spans="2:20" s="64" customFormat="1" ht="44.1" customHeight="1">
      <c r="B64" s="91"/>
      <c r="C64" s="101"/>
      <c r="D64" s="107"/>
      <c r="E64" s="98"/>
      <c r="F64" s="91"/>
      <c r="G64" s="113"/>
      <c r="H64" s="114"/>
      <c r="I64" s="108"/>
      <c r="J64" s="134"/>
      <c r="K64" s="135"/>
      <c r="L64" s="135"/>
      <c r="M64" s="136"/>
      <c r="N64" s="136"/>
      <c r="O64" s="797"/>
      <c r="P64" s="797"/>
      <c r="Q64" s="136"/>
      <c r="R64" s="136"/>
      <c r="S64" s="136"/>
      <c r="T64" s="128"/>
    </row>
    <row r="65" spans="2:43" s="64" customFormat="1" ht="44.1" customHeight="1">
      <c r="B65" s="91"/>
      <c r="C65" s="101"/>
      <c r="D65" s="107"/>
      <c r="E65" s="98"/>
      <c r="F65" s="105"/>
      <c r="G65" s="107"/>
      <c r="H65" s="92"/>
      <c r="I65" s="108"/>
      <c r="J65" s="131"/>
      <c r="K65" s="132"/>
      <c r="L65" s="132"/>
      <c r="M65" s="133"/>
      <c r="N65" s="133"/>
      <c r="O65" s="787"/>
      <c r="P65" s="787"/>
      <c r="Q65" s="133"/>
      <c r="R65" s="133"/>
      <c r="S65" s="133"/>
      <c r="T65" s="128"/>
    </row>
    <row r="66" spans="2:43" s="64" customFormat="1" ht="44.1" customHeight="1">
      <c r="B66" s="91"/>
      <c r="C66" s="101"/>
      <c r="D66" s="107"/>
      <c r="E66" s="98"/>
      <c r="F66" s="104"/>
      <c r="G66" s="103"/>
      <c r="H66" s="103"/>
      <c r="I66" s="109"/>
      <c r="J66" s="134"/>
      <c r="K66" s="135"/>
      <c r="L66" s="135"/>
      <c r="M66" s="136"/>
      <c r="N66" s="136"/>
      <c r="O66" s="797"/>
      <c r="P66" s="797"/>
      <c r="Q66" s="136"/>
      <c r="R66" s="136"/>
      <c r="S66" s="136"/>
      <c r="T66" s="128"/>
    </row>
    <row r="67" spans="2:43" s="64" customFormat="1" ht="44.1" customHeight="1">
      <c r="B67" s="93"/>
      <c r="C67" s="101"/>
      <c r="D67" s="107"/>
      <c r="E67" s="98"/>
      <c r="F67" s="104"/>
      <c r="G67" s="103"/>
      <c r="H67" s="103"/>
      <c r="I67" s="109"/>
      <c r="J67" s="131"/>
      <c r="K67" s="132"/>
      <c r="L67" s="132"/>
      <c r="M67" s="133"/>
      <c r="N67" s="133"/>
      <c r="O67" s="787"/>
      <c r="P67" s="787"/>
      <c r="Q67" s="133"/>
      <c r="R67" s="133"/>
      <c r="S67" s="133"/>
      <c r="T67" s="128"/>
    </row>
    <row r="68" spans="2:43" s="64" customFormat="1" ht="44.1" customHeight="1" thickBot="1">
      <c r="B68" s="780" t="s">
        <v>86</v>
      </c>
      <c r="C68" s="781"/>
      <c r="D68" s="781"/>
      <c r="E68" s="116">
        <f>SUM(D48:D67)</f>
        <v>135.82499999999999</v>
      </c>
      <c r="F68" s="874" t="s">
        <v>86</v>
      </c>
      <c r="G68" s="875"/>
      <c r="H68" s="875"/>
      <c r="I68" s="117">
        <f>SUM(H48:H67)</f>
        <v>0</v>
      </c>
      <c r="J68" s="129"/>
      <c r="K68" s="130"/>
      <c r="L68" s="130"/>
      <c r="M68" s="130"/>
      <c r="N68" s="130"/>
      <c r="O68" s="788"/>
      <c r="P68" s="788"/>
      <c r="Q68" s="877"/>
      <c r="R68" s="877"/>
      <c r="S68" s="130"/>
      <c r="T68" s="128"/>
    </row>
    <row r="69" spans="2:43" s="64" customFormat="1" ht="44.1" customHeight="1">
      <c r="B69" s="743" t="s">
        <v>431</v>
      </c>
      <c r="C69" s="744"/>
      <c r="D69" s="744"/>
      <c r="E69" s="744"/>
      <c r="F69" s="744"/>
      <c r="G69" s="744"/>
      <c r="H69" s="744"/>
      <c r="I69" s="744"/>
      <c r="J69" s="852"/>
      <c r="K69" s="743" t="s">
        <v>42</v>
      </c>
      <c r="L69" s="744"/>
      <c r="M69" s="852"/>
      <c r="N69" s="743" t="s">
        <v>434</v>
      </c>
      <c r="O69" s="744"/>
      <c r="P69" s="744"/>
      <c r="Q69" s="744"/>
      <c r="R69" s="744"/>
      <c r="S69" s="744"/>
      <c r="T69" s="852"/>
    </row>
    <row r="70" spans="2:43" s="64" customFormat="1" ht="44.1" customHeight="1">
      <c r="B70" s="870" t="s">
        <v>43</v>
      </c>
      <c r="C70" s="871"/>
      <c r="D70" s="163" t="s">
        <v>760</v>
      </c>
      <c r="E70" s="163" t="s">
        <v>459</v>
      </c>
      <c r="F70" s="163" t="s">
        <v>938</v>
      </c>
      <c r="G70" s="876" t="s">
        <v>939</v>
      </c>
      <c r="H70" s="876"/>
      <c r="I70" s="163" t="s">
        <v>765</v>
      </c>
      <c r="J70" s="164" t="s">
        <v>768</v>
      </c>
      <c r="K70" s="801" t="s">
        <v>808</v>
      </c>
      <c r="L70" s="802"/>
      <c r="M70" s="171"/>
      <c r="N70" s="717" t="s">
        <v>433</v>
      </c>
      <c r="O70" s="699"/>
      <c r="P70" s="165" t="s">
        <v>443</v>
      </c>
      <c r="Q70" s="699" t="s">
        <v>16</v>
      </c>
      <c r="R70" s="699" t="s">
        <v>31</v>
      </c>
      <c r="S70" s="165" t="s">
        <v>31</v>
      </c>
      <c r="T70" s="184" t="s">
        <v>32</v>
      </c>
    </row>
    <row r="71" spans="2:43" s="64" customFormat="1" ht="44.1" customHeight="1">
      <c r="B71" s="833" t="s">
        <v>44</v>
      </c>
      <c r="C71" s="834"/>
      <c r="D71" s="165" t="s">
        <v>729</v>
      </c>
      <c r="E71" s="165" t="s">
        <v>728</v>
      </c>
      <c r="F71" s="165" t="s">
        <v>729</v>
      </c>
      <c r="G71" s="699" t="s">
        <v>729</v>
      </c>
      <c r="H71" s="699"/>
      <c r="I71" s="165" t="s">
        <v>730</v>
      </c>
      <c r="J71" s="166" t="s">
        <v>730</v>
      </c>
      <c r="K71" s="801" t="s">
        <v>45</v>
      </c>
      <c r="L71" s="802"/>
      <c r="M71" s="171"/>
      <c r="N71" s="849" t="s">
        <v>830</v>
      </c>
      <c r="O71" s="850"/>
      <c r="P71" s="185"/>
      <c r="Q71" s="844"/>
      <c r="R71" s="844"/>
      <c r="S71" s="186"/>
      <c r="T71" s="187" t="s">
        <v>818</v>
      </c>
      <c r="U71" s="63"/>
      <c r="V71" s="63"/>
    </row>
    <row r="72" spans="2:43" s="64" customFormat="1" ht="44.1" customHeight="1">
      <c r="B72" s="833" t="s">
        <v>46</v>
      </c>
      <c r="C72" s="834"/>
      <c r="D72" s="250">
        <v>28000</v>
      </c>
      <c r="E72" s="250">
        <v>1100</v>
      </c>
      <c r="F72" s="250">
        <v>80000</v>
      </c>
      <c r="G72" s="881">
        <v>6100</v>
      </c>
      <c r="H72" s="882"/>
      <c r="I72" s="168"/>
      <c r="J72" s="169">
        <v>7</v>
      </c>
      <c r="K72" s="801" t="s">
        <v>48</v>
      </c>
      <c r="L72" s="802"/>
      <c r="M72" s="171"/>
      <c r="N72" s="849" t="s">
        <v>831</v>
      </c>
      <c r="O72" s="850"/>
      <c r="P72" s="188"/>
      <c r="Q72" s="844"/>
      <c r="R72" s="844"/>
      <c r="S72" s="177"/>
      <c r="T72" s="187" t="s">
        <v>818</v>
      </c>
      <c r="U72" s="63"/>
      <c r="V72" s="63"/>
    </row>
    <row r="73" spans="2:43" s="64" customFormat="1" ht="44.1" customHeight="1" thickBot="1">
      <c r="B73" s="833" t="s">
        <v>443</v>
      </c>
      <c r="C73" s="834"/>
      <c r="D73" s="250">
        <v>12000</v>
      </c>
      <c r="E73" s="179">
        <v>660</v>
      </c>
      <c r="F73" s="250">
        <v>3000</v>
      </c>
      <c r="G73" s="881">
        <v>700</v>
      </c>
      <c r="H73" s="882"/>
      <c r="I73" s="170"/>
      <c r="J73" s="171"/>
      <c r="K73" s="883" t="s">
        <v>82</v>
      </c>
      <c r="L73" s="884"/>
      <c r="M73" s="189"/>
      <c r="N73" s="849" t="s">
        <v>825</v>
      </c>
      <c r="O73" s="850"/>
      <c r="P73" s="185"/>
      <c r="Q73" s="844"/>
      <c r="R73" s="844"/>
      <c r="S73" s="177"/>
      <c r="T73" s="187" t="s">
        <v>818</v>
      </c>
      <c r="U73" s="61"/>
      <c r="V73" s="61"/>
    </row>
    <row r="74" spans="2:43" s="64" customFormat="1" ht="44.1" customHeight="1" thickBot="1">
      <c r="B74" s="872" t="s">
        <v>47</v>
      </c>
      <c r="C74" s="873"/>
      <c r="D74" s="309">
        <v>15000</v>
      </c>
      <c r="E74" s="309">
        <v>360</v>
      </c>
      <c r="F74" s="309"/>
      <c r="G74" s="881"/>
      <c r="H74" s="882"/>
      <c r="I74" s="172"/>
      <c r="J74" s="173"/>
      <c r="K74" s="743" t="s">
        <v>50</v>
      </c>
      <c r="L74" s="744"/>
      <c r="M74" s="880"/>
      <c r="N74" s="849" t="s">
        <v>829</v>
      </c>
      <c r="O74" s="850"/>
      <c r="P74" s="185"/>
      <c r="Q74" s="844"/>
      <c r="R74" s="844"/>
      <c r="S74" s="186"/>
      <c r="T74" s="187" t="s">
        <v>816</v>
      </c>
      <c r="U74" s="63"/>
      <c r="V74" s="63"/>
    </row>
    <row r="75" spans="2:43" s="64" customFormat="1" ht="44.1" customHeight="1">
      <c r="B75" s="743" t="s">
        <v>92</v>
      </c>
      <c r="C75" s="744"/>
      <c r="D75" s="744"/>
      <c r="E75" s="744"/>
      <c r="F75" s="744"/>
      <c r="G75" s="744"/>
      <c r="H75" s="744"/>
      <c r="I75" s="744"/>
      <c r="J75" s="852"/>
      <c r="K75" s="846" t="s">
        <v>51</v>
      </c>
      <c r="L75" s="802"/>
      <c r="M75" s="175" t="s">
        <v>959</v>
      </c>
      <c r="N75" s="849" t="s">
        <v>833</v>
      </c>
      <c r="O75" s="850"/>
      <c r="P75" s="185"/>
      <c r="Q75" s="844"/>
      <c r="R75" s="844"/>
      <c r="S75" s="186"/>
      <c r="T75" s="187" t="s">
        <v>769</v>
      </c>
      <c r="U75" s="63"/>
      <c r="V75" s="63"/>
      <c r="W75" s="63"/>
      <c r="X75" s="63"/>
      <c r="Y75" s="63"/>
      <c r="Z75" s="63"/>
      <c r="AA75" s="63"/>
      <c r="AB75" s="63"/>
      <c r="AC75" s="63"/>
      <c r="AD75" s="63"/>
      <c r="AE75" s="63"/>
      <c r="AF75" s="63"/>
      <c r="AG75" s="63"/>
      <c r="AH75" s="63"/>
      <c r="AI75" s="63"/>
      <c r="AJ75" s="63"/>
      <c r="AK75" s="63"/>
      <c r="AL75" s="63"/>
      <c r="AM75" s="63"/>
      <c r="AN75" s="63"/>
      <c r="AO75" s="63"/>
      <c r="AP75" s="63"/>
      <c r="AQ75" s="63"/>
    </row>
    <row r="76" spans="2:43" s="64" customFormat="1" ht="44.1" customHeight="1">
      <c r="B76" s="801" t="s">
        <v>49</v>
      </c>
      <c r="C76" s="878" t="s">
        <v>84</v>
      </c>
      <c r="D76" s="878"/>
      <c r="E76" s="878" t="s">
        <v>435</v>
      </c>
      <c r="F76" s="878" t="s">
        <v>85</v>
      </c>
      <c r="G76" s="878" t="s">
        <v>90</v>
      </c>
      <c r="H76" s="878"/>
      <c r="I76" s="878"/>
      <c r="J76" s="879" t="s">
        <v>91</v>
      </c>
      <c r="K76" s="846" t="s">
        <v>52</v>
      </c>
      <c r="L76" s="802"/>
      <c r="M76" s="175"/>
      <c r="N76" s="849" t="s">
        <v>838</v>
      </c>
      <c r="O76" s="850"/>
      <c r="P76" s="185"/>
      <c r="Q76" s="844"/>
      <c r="R76" s="844"/>
      <c r="S76" s="186"/>
      <c r="T76" s="187" t="s">
        <v>816</v>
      </c>
      <c r="U76" s="63"/>
      <c r="V76" s="63"/>
      <c r="W76" s="63"/>
      <c r="X76" s="63"/>
      <c r="Y76" s="63"/>
      <c r="Z76" s="63"/>
      <c r="AA76" s="63"/>
      <c r="AB76" s="63"/>
      <c r="AC76" s="63"/>
      <c r="AD76" s="63"/>
      <c r="AE76" s="63"/>
      <c r="AF76" s="63"/>
      <c r="AG76" s="63"/>
      <c r="AH76" s="63"/>
      <c r="AI76" s="63"/>
      <c r="AJ76" s="63"/>
      <c r="AK76" s="63"/>
      <c r="AL76" s="63"/>
      <c r="AM76" s="63"/>
      <c r="AN76" s="63"/>
      <c r="AO76" s="63"/>
      <c r="AP76" s="63"/>
      <c r="AQ76" s="63"/>
    </row>
    <row r="77" spans="2:43" s="64" customFormat="1" ht="44.1" customHeight="1">
      <c r="B77" s="801"/>
      <c r="C77" s="878"/>
      <c r="D77" s="878"/>
      <c r="E77" s="878"/>
      <c r="F77" s="878"/>
      <c r="G77" s="878"/>
      <c r="H77" s="878"/>
      <c r="I77" s="878"/>
      <c r="J77" s="879"/>
      <c r="K77" s="846" t="s">
        <v>53</v>
      </c>
      <c r="L77" s="802"/>
      <c r="M77" s="180"/>
      <c r="N77" s="849" t="s">
        <v>826</v>
      </c>
      <c r="O77" s="850"/>
      <c r="P77" s="185"/>
      <c r="Q77" s="844"/>
      <c r="R77" s="844"/>
      <c r="S77" s="186"/>
      <c r="T77" s="187" t="s">
        <v>827</v>
      </c>
      <c r="U77" s="63"/>
      <c r="V77" s="63"/>
      <c r="W77" s="63"/>
      <c r="X77" s="63"/>
      <c r="Y77" s="63"/>
      <c r="Z77" s="63"/>
      <c r="AA77" s="63"/>
      <c r="AB77" s="63"/>
      <c r="AC77" s="63"/>
      <c r="AD77" s="63"/>
      <c r="AE77" s="63"/>
      <c r="AF77" s="63"/>
      <c r="AG77" s="63"/>
      <c r="AH77" s="63"/>
      <c r="AI77" s="63"/>
      <c r="AJ77" s="63"/>
      <c r="AK77" s="63"/>
      <c r="AL77" s="63"/>
      <c r="AM77" s="63"/>
      <c r="AN77" s="63"/>
      <c r="AO77" s="63"/>
      <c r="AP77" s="63"/>
      <c r="AQ77" s="63"/>
    </row>
    <row r="78" spans="2:43" s="64" customFormat="1" ht="44.1" customHeight="1">
      <c r="B78" s="174" t="s">
        <v>814</v>
      </c>
      <c r="C78" s="907" t="s">
        <v>961</v>
      </c>
      <c r="D78" s="907"/>
      <c r="E78" s="170" t="s">
        <v>953</v>
      </c>
      <c r="F78" s="170" t="s">
        <v>954</v>
      </c>
      <c r="G78" s="737" t="s">
        <v>727</v>
      </c>
      <c r="H78" s="737"/>
      <c r="I78" s="737"/>
      <c r="J78" s="175" t="s">
        <v>959</v>
      </c>
      <c r="K78" s="846" t="s">
        <v>89</v>
      </c>
      <c r="L78" s="802"/>
      <c r="M78" s="181"/>
      <c r="N78" s="849" t="s">
        <v>832</v>
      </c>
      <c r="O78" s="850"/>
      <c r="P78" s="185"/>
      <c r="Q78" s="841"/>
      <c r="R78" s="842"/>
      <c r="S78" s="190"/>
      <c r="T78" s="187" t="s">
        <v>769</v>
      </c>
      <c r="U78" s="63"/>
      <c r="V78" s="63"/>
      <c r="W78" s="63"/>
      <c r="X78" s="63"/>
      <c r="Y78" s="63"/>
      <c r="Z78" s="63"/>
      <c r="AA78" s="63"/>
      <c r="AB78" s="63"/>
      <c r="AC78" s="63"/>
      <c r="AD78" s="63"/>
      <c r="AE78" s="63"/>
      <c r="AF78" s="63"/>
      <c r="AG78" s="63"/>
      <c r="AH78" s="63"/>
      <c r="AI78" s="63"/>
      <c r="AJ78" s="63"/>
      <c r="AK78" s="63"/>
      <c r="AL78" s="63"/>
      <c r="AM78" s="63"/>
      <c r="AN78" s="63"/>
      <c r="AO78" s="63"/>
      <c r="AP78" s="63"/>
      <c r="AQ78" s="63"/>
    </row>
    <row r="79" spans="2:43" s="64" customFormat="1" ht="44.1" customHeight="1" thickBot="1">
      <c r="B79" s="176" t="s">
        <v>815</v>
      </c>
      <c r="C79" s="907" t="s">
        <v>962</v>
      </c>
      <c r="D79" s="907"/>
      <c r="E79" s="170" t="s">
        <v>953</v>
      </c>
      <c r="F79" s="170" t="s">
        <v>954</v>
      </c>
      <c r="G79" s="737" t="s">
        <v>958</v>
      </c>
      <c r="H79" s="737"/>
      <c r="I79" s="737"/>
      <c r="J79" s="175" t="s">
        <v>959</v>
      </c>
      <c r="K79" s="845" t="s">
        <v>54</v>
      </c>
      <c r="L79" s="746"/>
      <c r="M79" s="182">
        <f>'DDR Remark'!AQ3</f>
        <v>468</v>
      </c>
      <c r="N79" s="847" t="s">
        <v>824</v>
      </c>
      <c r="O79" s="848"/>
      <c r="P79" s="306"/>
      <c r="Q79" s="843"/>
      <c r="R79" s="843"/>
      <c r="S79" s="307"/>
      <c r="T79" s="308" t="s">
        <v>817</v>
      </c>
      <c r="U79" s="63"/>
      <c r="V79" s="63"/>
      <c r="W79" s="63"/>
      <c r="X79" s="63"/>
      <c r="Y79" s="63"/>
      <c r="Z79" s="63"/>
      <c r="AA79" s="63"/>
      <c r="AB79" s="63"/>
      <c r="AC79" s="63"/>
      <c r="AD79" s="63"/>
      <c r="AE79" s="63"/>
      <c r="AF79" s="63"/>
      <c r="AG79" s="63"/>
      <c r="AH79" s="63"/>
      <c r="AI79" s="63"/>
      <c r="AJ79" s="63"/>
      <c r="AK79" s="63"/>
      <c r="AL79" s="63"/>
      <c r="AM79" s="63"/>
      <c r="AN79" s="63"/>
      <c r="AO79" s="63"/>
      <c r="AP79" s="63"/>
      <c r="AQ79" s="63"/>
    </row>
    <row r="80" spans="2:43" s="64" customFormat="1" ht="44.1" customHeight="1">
      <c r="B80" s="174" t="s">
        <v>957</v>
      </c>
      <c r="C80" s="907"/>
      <c r="D80" s="907"/>
      <c r="E80" s="325" t="s">
        <v>953</v>
      </c>
      <c r="F80" s="170" t="s">
        <v>954</v>
      </c>
      <c r="G80" s="737" t="s">
        <v>727</v>
      </c>
      <c r="H80" s="737"/>
      <c r="I80" s="737"/>
      <c r="J80" s="175" t="s">
        <v>959</v>
      </c>
      <c r="K80" s="743" t="s">
        <v>56</v>
      </c>
      <c r="L80" s="744"/>
      <c r="M80" s="880"/>
      <c r="N80" s="908" t="s">
        <v>55</v>
      </c>
      <c r="O80" s="909"/>
      <c r="P80" s="909"/>
      <c r="Q80" s="909"/>
      <c r="R80" s="909"/>
      <c r="S80" s="909"/>
      <c r="T80" s="910"/>
      <c r="U80" s="61"/>
      <c r="V80" s="61"/>
      <c r="W80" s="63"/>
      <c r="X80" s="63"/>
      <c r="Y80" s="63"/>
      <c r="Z80" s="63"/>
      <c r="AA80" s="63"/>
      <c r="AB80" s="63"/>
      <c r="AC80" s="63"/>
      <c r="AD80" s="63"/>
      <c r="AE80" s="63"/>
      <c r="AF80" s="63"/>
      <c r="AG80" s="63"/>
      <c r="AH80" s="63"/>
      <c r="AI80" s="63"/>
      <c r="AJ80" s="63"/>
      <c r="AK80" s="63"/>
      <c r="AL80" s="63"/>
      <c r="AM80" s="63"/>
      <c r="AN80" s="63"/>
      <c r="AO80" s="63"/>
      <c r="AP80" s="63"/>
      <c r="AQ80" s="63"/>
    </row>
    <row r="81" spans="1:43" s="64" customFormat="1" ht="44.1" customHeight="1">
      <c r="B81" s="174" t="s">
        <v>821</v>
      </c>
      <c r="C81" s="737" t="s">
        <v>727</v>
      </c>
      <c r="D81" s="737"/>
      <c r="E81" s="170" t="s">
        <v>727</v>
      </c>
      <c r="F81" s="170" t="s">
        <v>727</v>
      </c>
      <c r="G81" s="737" t="s">
        <v>727</v>
      </c>
      <c r="H81" s="737"/>
      <c r="I81" s="737"/>
      <c r="J81" s="175" t="s">
        <v>727</v>
      </c>
      <c r="K81" s="772" t="s">
        <v>860</v>
      </c>
      <c r="L81" s="773"/>
      <c r="M81" s="303">
        <v>76</v>
      </c>
      <c r="N81" s="717" t="s">
        <v>49</v>
      </c>
      <c r="O81" s="699"/>
      <c r="P81" s="282" t="s">
        <v>57</v>
      </c>
      <c r="Q81" s="699" t="s">
        <v>58</v>
      </c>
      <c r="R81" s="699"/>
      <c r="S81" s="699" t="s">
        <v>59</v>
      </c>
      <c r="T81" s="911"/>
      <c r="U81" s="63"/>
      <c r="V81" s="63"/>
      <c r="W81" s="63"/>
      <c r="X81" s="63"/>
      <c r="Y81" s="63"/>
      <c r="Z81" s="63"/>
      <c r="AA81" s="63"/>
      <c r="AB81" s="63"/>
      <c r="AC81" s="63"/>
      <c r="AD81" s="63"/>
      <c r="AE81" s="63"/>
      <c r="AF81" s="63"/>
      <c r="AG81" s="63"/>
      <c r="AH81" s="63"/>
      <c r="AI81" s="63"/>
      <c r="AJ81" s="63"/>
      <c r="AK81" s="63"/>
      <c r="AL81" s="63"/>
      <c r="AM81" s="63"/>
      <c r="AN81" s="63"/>
      <c r="AO81" s="63"/>
      <c r="AP81" s="63"/>
      <c r="AQ81" s="63"/>
    </row>
    <row r="82" spans="1:43" s="64" customFormat="1" ht="44.1" customHeight="1">
      <c r="A82" s="64" t="s">
        <v>936</v>
      </c>
      <c r="B82" s="174" t="s">
        <v>820</v>
      </c>
      <c r="C82" s="737" t="s">
        <v>727</v>
      </c>
      <c r="D82" s="737"/>
      <c r="E82" s="325" t="s">
        <v>953</v>
      </c>
      <c r="F82" s="325" t="s">
        <v>954</v>
      </c>
      <c r="G82" s="737" t="s">
        <v>727</v>
      </c>
      <c r="H82" s="737"/>
      <c r="I82" s="737"/>
      <c r="J82" s="175" t="s">
        <v>959</v>
      </c>
      <c r="K82" s="772" t="s">
        <v>761</v>
      </c>
      <c r="L82" s="773"/>
      <c r="M82" s="304">
        <v>3</v>
      </c>
      <c r="N82" s="717" t="s">
        <v>849</v>
      </c>
      <c r="O82" s="699"/>
      <c r="P82" s="282"/>
      <c r="Q82" s="699"/>
      <c r="R82" s="699"/>
      <c r="S82" s="706" t="s">
        <v>960</v>
      </c>
      <c r="T82" s="707"/>
      <c r="U82" s="63"/>
      <c r="V82" s="63"/>
      <c r="W82" s="63"/>
      <c r="X82" s="63"/>
      <c r="Y82" s="63"/>
      <c r="Z82" s="63"/>
      <c r="AA82" s="63"/>
      <c r="AB82" s="63"/>
      <c r="AC82" s="63"/>
      <c r="AD82" s="63"/>
      <c r="AE82" s="63"/>
      <c r="AF82" s="63"/>
      <c r="AG82" s="63"/>
      <c r="AH82" s="63"/>
      <c r="AI82" s="63"/>
      <c r="AJ82" s="63"/>
      <c r="AK82" s="63"/>
      <c r="AL82" s="63"/>
      <c r="AM82" s="63"/>
      <c r="AN82" s="63"/>
      <c r="AO82" s="63"/>
      <c r="AP82" s="63"/>
      <c r="AQ82" s="63"/>
    </row>
    <row r="83" spans="1:43" s="64" customFormat="1" ht="44.1" customHeight="1">
      <c r="B83" s="174" t="s">
        <v>828</v>
      </c>
      <c r="C83" s="737" t="s">
        <v>727</v>
      </c>
      <c r="D83" s="737"/>
      <c r="E83" s="325" t="s">
        <v>953</v>
      </c>
      <c r="F83" s="325" t="s">
        <v>954</v>
      </c>
      <c r="G83" s="737" t="s">
        <v>727</v>
      </c>
      <c r="H83" s="737"/>
      <c r="I83" s="737"/>
      <c r="J83" s="175" t="s">
        <v>959</v>
      </c>
      <c r="K83" s="772" t="s">
        <v>845</v>
      </c>
      <c r="L83" s="773"/>
      <c r="M83" s="303">
        <v>7</v>
      </c>
      <c r="N83" s="717"/>
      <c r="O83" s="699"/>
      <c r="P83" s="282"/>
      <c r="Q83" s="699"/>
      <c r="R83" s="699"/>
      <c r="S83" s="706"/>
      <c r="T83" s="707"/>
      <c r="U83" s="63"/>
      <c r="V83" s="63"/>
      <c r="W83" s="63"/>
      <c r="X83" s="63"/>
      <c r="Y83" s="63"/>
      <c r="Z83" s="63"/>
      <c r="AA83" s="63"/>
      <c r="AB83" s="63"/>
      <c r="AC83" s="63"/>
      <c r="AD83" s="63"/>
      <c r="AE83" s="63"/>
      <c r="AF83" s="63"/>
      <c r="AG83" s="63"/>
      <c r="AH83" s="63"/>
      <c r="AI83" s="63"/>
      <c r="AJ83" s="63"/>
      <c r="AK83" s="63"/>
      <c r="AL83" s="63"/>
      <c r="AM83" s="63"/>
      <c r="AN83" s="63"/>
      <c r="AO83" s="63"/>
      <c r="AP83" s="63"/>
      <c r="AQ83" s="63"/>
    </row>
    <row r="84" spans="1:43" s="64" customFormat="1" ht="44.1" customHeight="1">
      <c r="B84" s="174" t="s">
        <v>834</v>
      </c>
      <c r="C84" s="737" t="s">
        <v>727</v>
      </c>
      <c r="D84" s="737"/>
      <c r="E84" s="325" t="s">
        <v>727</v>
      </c>
      <c r="F84" s="325" t="s">
        <v>727</v>
      </c>
      <c r="G84" s="737" t="s">
        <v>727</v>
      </c>
      <c r="H84" s="737"/>
      <c r="I84" s="737"/>
      <c r="J84" s="175" t="s">
        <v>727</v>
      </c>
      <c r="K84" s="772" t="s">
        <v>861</v>
      </c>
      <c r="L84" s="773"/>
      <c r="M84" s="303">
        <v>14</v>
      </c>
      <c r="N84" s="717"/>
      <c r="O84" s="699"/>
      <c r="P84" s="282"/>
      <c r="Q84" s="699"/>
      <c r="R84" s="699"/>
      <c r="S84" s="706"/>
      <c r="T84" s="707"/>
      <c r="U84" s="63"/>
      <c r="V84" s="63"/>
      <c r="W84" s="63"/>
      <c r="X84" s="63"/>
      <c r="Y84" s="63"/>
      <c r="Z84" s="63"/>
      <c r="AA84" s="63"/>
      <c r="AB84" s="63"/>
      <c r="AC84" s="63"/>
      <c r="AD84" s="63"/>
      <c r="AE84" s="63"/>
      <c r="AF84" s="63"/>
      <c r="AG84" s="63"/>
      <c r="AH84" s="63"/>
      <c r="AI84" s="63"/>
      <c r="AJ84" s="63"/>
      <c r="AK84" s="63"/>
      <c r="AL84" s="63"/>
      <c r="AM84" s="63"/>
      <c r="AN84" s="63"/>
      <c r="AO84" s="63"/>
      <c r="AP84" s="63"/>
      <c r="AQ84" s="63"/>
    </row>
    <row r="85" spans="1:43" s="64" customFormat="1" ht="44.1" customHeight="1">
      <c r="B85" s="174" t="s">
        <v>822</v>
      </c>
      <c r="C85" s="737" t="s">
        <v>727</v>
      </c>
      <c r="D85" s="737"/>
      <c r="E85" s="325" t="s">
        <v>727</v>
      </c>
      <c r="F85" s="325" t="s">
        <v>727</v>
      </c>
      <c r="G85" s="737" t="s">
        <v>727</v>
      </c>
      <c r="H85" s="737"/>
      <c r="I85" s="737"/>
      <c r="J85" s="175" t="s">
        <v>727</v>
      </c>
      <c r="K85" s="772" t="s">
        <v>762</v>
      </c>
      <c r="L85" s="773"/>
      <c r="M85" s="303">
        <v>22</v>
      </c>
      <c r="N85" s="717"/>
      <c r="O85" s="699"/>
      <c r="P85" s="282"/>
      <c r="Q85" s="699"/>
      <c r="R85" s="699"/>
      <c r="S85" s="706"/>
      <c r="T85" s="707"/>
      <c r="U85" s="65"/>
      <c r="V85" s="65"/>
      <c r="W85" s="63"/>
      <c r="X85" s="63"/>
      <c r="Y85" s="63"/>
      <c r="Z85" s="63"/>
      <c r="AA85" s="63"/>
      <c r="AB85" s="63"/>
      <c r="AC85" s="63"/>
      <c r="AD85" s="63"/>
      <c r="AE85" s="63"/>
      <c r="AF85" s="63"/>
      <c r="AG85" s="63"/>
      <c r="AH85" s="63"/>
      <c r="AI85" s="63"/>
      <c r="AJ85" s="63"/>
      <c r="AK85" s="63"/>
      <c r="AL85" s="63"/>
      <c r="AM85" s="63"/>
      <c r="AN85" s="63"/>
      <c r="AO85" s="63"/>
      <c r="AP85" s="63"/>
      <c r="AQ85" s="63"/>
    </row>
    <row r="86" spans="1:43" s="64" customFormat="1" ht="44.1" customHeight="1">
      <c r="B86" s="174" t="s">
        <v>823</v>
      </c>
      <c r="C86" s="737" t="s">
        <v>956</v>
      </c>
      <c r="D86" s="737"/>
      <c r="E86" s="170" t="s">
        <v>953</v>
      </c>
      <c r="F86" s="170" t="s">
        <v>954</v>
      </c>
      <c r="G86" s="737" t="s">
        <v>727</v>
      </c>
      <c r="H86" s="737"/>
      <c r="I86" s="737"/>
      <c r="J86" s="175" t="s">
        <v>955</v>
      </c>
      <c r="K86" s="772" t="s">
        <v>763</v>
      </c>
      <c r="L86" s="773"/>
      <c r="M86" s="303">
        <v>8</v>
      </c>
      <c r="N86" s="717"/>
      <c r="O86" s="699"/>
      <c r="P86" s="282"/>
      <c r="Q86" s="699"/>
      <c r="R86" s="699"/>
      <c r="S86" s="706"/>
      <c r="T86" s="707"/>
      <c r="U86" s="63"/>
      <c r="V86" s="63"/>
      <c r="W86" s="63"/>
      <c r="X86" s="63"/>
      <c r="Y86" s="63"/>
      <c r="Z86" s="63"/>
      <c r="AA86" s="63"/>
      <c r="AB86" s="63"/>
      <c r="AC86" s="63"/>
      <c r="AD86" s="63"/>
      <c r="AE86" s="63"/>
      <c r="AF86" s="63"/>
      <c r="AG86" s="63"/>
      <c r="AH86" s="63"/>
      <c r="AI86" s="63"/>
      <c r="AJ86" s="63"/>
      <c r="AK86" s="63"/>
      <c r="AL86" s="63"/>
      <c r="AM86" s="63"/>
      <c r="AN86" s="63"/>
      <c r="AO86" s="63"/>
      <c r="AP86" s="63"/>
      <c r="AQ86" s="63"/>
    </row>
    <row r="87" spans="1:43" s="64" customFormat="1" ht="44.1" customHeight="1">
      <c r="B87" s="118"/>
      <c r="C87" s="718"/>
      <c r="D87" s="718"/>
      <c r="E87" s="152"/>
      <c r="F87" s="152"/>
      <c r="G87" s="718"/>
      <c r="H87" s="718"/>
      <c r="I87" s="718"/>
      <c r="J87" s="102"/>
      <c r="K87" s="772" t="s">
        <v>13</v>
      </c>
      <c r="L87" s="773"/>
      <c r="M87" s="303">
        <v>0</v>
      </c>
      <c r="N87" s="717"/>
      <c r="O87" s="699"/>
      <c r="P87" s="282"/>
      <c r="Q87" s="699"/>
      <c r="R87" s="699"/>
      <c r="S87" s="706"/>
      <c r="T87" s="707"/>
      <c r="U87" s="63"/>
      <c r="V87" s="63"/>
      <c r="W87" s="63"/>
      <c r="X87" s="63"/>
      <c r="Y87" s="63"/>
      <c r="Z87" s="63"/>
      <c r="AA87" s="63"/>
      <c r="AB87" s="63"/>
      <c r="AC87" s="63"/>
      <c r="AD87" s="63"/>
      <c r="AE87" s="63"/>
      <c r="AF87" s="63"/>
      <c r="AG87" s="63"/>
      <c r="AH87" s="63"/>
      <c r="AI87" s="63"/>
      <c r="AJ87" s="63"/>
      <c r="AK87" s="63"/>
      <c r="AL87" s="63"/>
      <c r="AM87" s="63"/>
      <c r="AN87" s="63"/>
      <c r="AO87" s="63"/>
      <c r="AP87" s="63"/>
      <c r="AQ87" s="63"/>
    </row>
    <row r="88" spans="1:43" s="64" customFormat="1" ht="44.1" customHeight="1" thickBot="1">
      <c r="B88" s="115"/>
      <c r="C88" s="718"/>
      <c r="D88" s="718"/>
      <c r="E88" s="152"/>
      <c r="F88" s="152"/>
      <c r="G88" s="742"/>
      <c r="H88" s="742"/>
      <c r="I88" s="742"/>
      <c r="J88" s="102"/>
      <c r="K88" s="745" t="s">
        <v>764</v>
      </c>
      <c r="L88" s="746"/>
      <c r="M88" s="305">
        <f>SUM(M81:M87)</f>
        <v>130</v>
      </c>
      <c r="N88" s="764"/>
      <c r="O88" s="719"/>
      <c r="P88" s="300"/>
      <c r="Q88" s="719"/>
      <c r="R88" s="719"/>
      <c r="S88" s="765"/>
      <c r="T88" s="766"/>
      <c r="U88" s="63"/>
      <c r="V88" s="63"/>
      <c r="W88" s="63"/>
      <c r="X88" s="63"/>
      <c r="Y88" s="63"/>
      <c r="Z88" s="63"/>
      <c r="AA88" s="63"/>
      <c r="AB88" s="63"/>
      <c r="AC88" s="63"/>
      <c r="AD88" s="63"/>
      <c r="AE88" s="63"/>
      <c r="AF88" s="63"/>
      <c r="AG88" s="63"/>
      <c r="AH88" s="63"/>
      <c r="AI88" s="63"/>
      <c r="AJ88" s="63"/>
      <c r="AK88" s="63"/>
      <c r="AL88" s="63"/>
      <c r="AM88" s="63"/>
      <c r="AN88" s="63"/>
      <c r="AO88" s="63"/>
      <c r="AP88" s="63"/>
      <c r="AQ88" s="63"/>
    </row>
    <row r="89" spans="1:43" ht="44.1" customHeight="1">
      <c r="A89" s="25"/>
      <c r="B89" s="743" t="s">
        <v>733</v>
      </c>
      <c r="C89" s="744"/>
      <c r="D89" s="744"/>
      <c r="E89" s="744"/>
      <c r="F89" s="744"/>
      <c r="G89" s="744"/>
      <c r="H89" s="744"/>
      <c r="I89" s="744"/>
      <c r="J89" s="700" t="s">
        <v>753</v>
      </c>
      <c r="K89" s="701"/>
      <c r="L89" s="701"/>
      <c r="M89" s="701"/>
      <c r="N89" s="702"/>
      <c r="O89" s="702"/>
      <c r="P89" s="702"/>
      <c r="Q89" s="702"/>
      <c r="R89" s="702"/>
      <c r="S89" s="702"/>
      <c r="T89" s="703"/>
      <c r="U89" s="23"/>
      <c r="V89" s="23"/>
      <c r="W89" s="23"/>
      <c r="X89" s="23"/>
      <c r="Y89" s="23"/>
      <c r="Z89" s="23"/>
      <c r="AA89" s="23"/>
      <c r="AB89" s="23"/>
      <c r="AC89" s="23"/>
      <c r="AD89" s="23"/>
      <c r="AE89" s="23"/>
      <c r="AF89" s="23"/>
      <c r="AG89" s="23"/>
      <c r="AH89" s="23"/>
      <c r="AI89" s="2"/>
      <c r="AJ89" s="2"/>
      <c r="AK89" s="2"/>
      <c r="AL89" s="2"/>
      <c r="AM89" s="2"/>
      <c r="AN89" s="2"/>
      <c r="AO89" s="2"/>
      <c r="AP89" s="2"/>
      <c r="AQ89" s="2"/>
    </row>
    <row r="90" spans="1:43" ht="44.1" customHeight="1">
      <c r="A90" s="25"/>
      <c r="B90" s="301" t="s">
        <v>445</v>
      </c>
      <c r="C90" s="736" t="s">
        <v>734</v>
      </c>
      <c r="D90" s="736"/>
      <c r="E90" s="401" t="s">
        <v>735</v>
      </c>
      <c r="F90" s="302" t="s">
        <v>736</v>
      </c>
      <c r="G90" s="747" t="s">
        <v>758</v>
      </c>
      <c r="H90" s="748"/>
      <c r="I90" s="749"/>
      <c r="J90" s="768" t="s">
        <v>748</v>
      </c>
      <c r="K90" s="720" t="s">
        <v>755</v>
      </c>
      <c r="L90" s="721"/>
      <c r="M90" s="721"/>
      <c r="N90" s="722"/>
      <c r="O90" s="720" t="s">
        <v>749</v>
      </c>
      <c r="P90" s="721"/>
      <c r="Q90" s="721"/>
      <c r="R90" s="721"/>
      <c r="S90" s="722"/>
      <c r="T90" s="770" t="s">
        <v>643</v>
      </c>
      <c r="U90" s="2"/>
      <c r="V90" s="2"/>
      <c r="W90" s="2"/>
      <c r="X90" s="2"/>
      <c r="Y90" s="2"/>
      <c r="Z90" s="2"/>
      <c r="AA90" s="2"/>
      <c r="AB90" s="2"/>
      <c r="AC90" s="2"/>
      <c r="AD90" s="2"/>
      <c r="AE90" s="2"/>
      <c r="AF90" s="2"/>
      <c r="AG90" s="2"/>
      <c r="AH90" s="2"/>
      <c r="AI90" s="2"/>
      <c r="AJ90" s="2"/>
      <c r="AK90" s="2"/>
      <c r="AL90" s="2"/>
      <c r="AM90" s="2"/>
      <c r="AN90" s="2"/>
      <c r="AO90" s="2"/>
      <c r="AP90" s="2"/>
      <c r="AQ90" s="2"/>
    </row>
    <row r="91" spans="1:43" ht="44.1" customHeight="1">
      <c r="B91" s="235" t="s">
        <v>737</v>
      </c>
      <c r="C91" s="738" t="s">
        <v>859</v>
      </c>
      <c r="D91" s="739"/>
      <c r="E91" s="251"/>
      <c r="F91" s="251"/>
      <c r="G91" s="727">
        <v>24</v>
      </c>
      <c r="H91" s="728"/>
      <c r="I91" s="177" t="s">
        <v>994</v>
      </c>
      <c r="J91" s="769"/>
      <c r="K91" s="710" t="s">
        <v>750</v>
      </c>
      <c r="L91" s="711"/>
      <c r="M91" s="710" t="s">
        <v>751</v>
      </c>
      <c r="N91" s="711"/>
      <c r="O91" s="710" t="s">
        <v>750</v>
      </c>
      <c r="P91" s="711"/>
      <c r="Q91" s="710" t="s">
        <v>751</v>
      </c>
      <c r="R91" s="767"/>
      <c r="S91" s="711"/>
      <c r="T91" s="771"/>
      <c r="U91" s="2"/>
      <c r="V91" s="2"/>
      <c r="W91" s="2"/>
      <c r="X91" s="2"/>
      <c r="Y91" s="2"/>
      <c r="Z91" s="2"/>
      <c r="AA91" s="2"/>
      <c r="AB91" s="2"/>
      <c r="AC91" s="2"/>
      <c r="AD91" s="2"/>
      <c r="AE91" s="2"/>
      <c r="AF91" s="2"/>
      <c r="AG91" s="2"/>
      <c r="AH91" s="2"/>
      <c r="AI91" s="2"/>
      <c r="AJ91" s="2"/>
      <c r="AK91" s="2"/>
      <c r="AL91" s="2"/>
      <c r="AM91" s="2"/>
      <c r="AN91" s="2"/>
      <c r="AO91" s="2"/>
      <c r="AP91" s="2"/>
      <c r="AQ91" s="2"/>
    </row>
    <row r="92" spans="1:43" ht="44.1" customHeight="1">
      <c r="B92" s="235" t="s">
        <v>738</v>
      </c>
      <c r="C92" s="740" t="s">
        <v>859</v>
      </c>
      <c r="D92" s="741"/>
      <c r="E92" s="251"/>
      <c r="F92" s="251"/>
      <c r="G92" s="727">
        <v>24</v>
      </c>
      <c r="H92" s="728"/>
      <c r="I92" s="177" t="s">
        <v>993</v>
      </c>
      <c r="J92" s="227"/>
      <c r="K92" s="714"/>
      <c r="L92" s="715"/>
      <c r="M92" s="714"/>
      <c r="N92" s="715"/>
      <c r="O92" s="714"/>
      <c r="P92" s="715"/>
      <c r="Q92" s="714"/>
      <c r="R92" s="716"/>
      <c r="S92" s="715"/>
      <c r="T92" s="228"/>
      <c r="U92" s="2"/>
      <c r="V92" s="2"/>
      <c r="W92" s="2"/>
      <c r="X92" s="2"/>
      <c r="Y92" s="2"/>
      <c r="Z92" s="2"/>
      <c r="AA92" s="2"/>
      <c r="AB92" s="2"/>
      <c r="AC92" s="2"/>
      <c r="AD92" s="2"/>
      <c r="AE92" s="2"/>
      <c r="AF92" s="2"/>
      <c r="AG92" s="2"/>
      <c r="AH92" s="2"/>
      <c r="AI92" s="2"/>
      <c r="AJ92" s="2"/>
      <c r="AK92" s="2"/>
      <c r="AL92" s="2"/>
      <c r="AM92" s="2"/>
      <c r="AN92" s="2"/>
      <c r="AO92" s="2"/>
      <c r="AP92" s="2"/>
      <c r="AQ92" s="2"/>
    </row>
    <row r="93" spans="1:43" ht="44.1" customHeight="1">
      <c r="B93" s="235" t="s">
        <v>739</v>
      </c>
      <c r="C93" s="740" t="s">
        <v>859</v>
      </c>
      <c r="D93" s="741"/>
      <c r="E93" s="251"/>
      <c r="F93" s="251"/>
      <c r="G93" s="727">
        <v>16</v>
      </c>
      <c r="H93" s="728"/>
      <c r="I93" s="177" t="s">
        <v>948</v>
      </c>
      <c r="J93" s="227"/>
      <c r="K93" s="714"/>
      <c r="L93" s="715"/>
      <c r="M93" s="714"/>
      <c r="N93" s="715"/>
      <c r="O93" s="714"/>
      <c r="P93" s="715"/>
      <c r="Q93" s="714"/>
      <c r="R93" s="716"/>
      <c r="S93" s="715"/>
      <c r="T93" s="228"/>
      <c r="U93" s="2"/>
      <c r="V93" s="2"/>
      <c r="W93" s="2"/>
      <c r="X93" s="2"/>
      <c r="Y93" s="2"/>
      <c r="Z93" s="2"/>
      <c r="AA93" s="2"/>
      <c r="AB93" s="2"/>
      <c r="AC93" s="2"/>
      <c r="AD93" s="2"/>
      <c r="AE93" s="2"/>
      <c r="AF93" s="2"/>
      <c r="AG93" s="2"/>
      <c r="AH93" s="2"/>
      <c r="AI93" s="2"/>
      <c r="AJ93" s="2"/>
      <c r="AK93" s="2"/>
      <c r="AL93" s="2"/>
      <c r="AM93" s="2"/>
      <c r="AN93" s="2"/>
      <c r="AO93" s="2"/>
      <c r="AP93" s="2"/>
      <c r="AQ93" s="2"/>
    </row>
    <row r="94" spans="1:43" ht="44.1" customHeight="1">
      <c r="B94" s="235" t="s">
        <v>740</v>
      </c>
      <c r="C94" s="727"/>
      <c r="D94" s="728"/>
      <c r="E94" s="251"/>
      <c r="F94" s="251"/>
      <c r="G94" s="727"/>
      <c r="H94" s="728"/>
      <c r="I94" s="177"/>
      <c r="J94" s="227"/>
      <c r="K94" s="714"/>
      <c r="L94" s="715"/>
      <c r="M94" s="714"/>
      <c r="N94" s="715"/>
      <c r="O94" s="714"/>
      <c r="P94" s="715"/>
      <c r="Q94" s="714"/>
      <c r="R94" s="716"/>
      <c r="S94" s="715"/>
      <c r="T94" s="228"/>
      <c r="U94" s="2"/>
      <c r="V94" s="2"/>
      <c r="W94" s="2"/>
      <c r="X94" s="2"/>
      <c r="Y94" s="2"/>
      <c r="Z94" s="2"/>
      <c r="AA94" s="2"/>
      <c r="AB94" s="2"/>
      <c r="AC94" s="2"/>
      <c r="AD94" s="2"/>
      <c r="AE94" s="2"/>
      <c r="AF94" s="2"/>
      <c r="AG94" s="2"/>
      <c r="AH94" s="2"/>
      <c r="AI94" s="2"/>
      <c r="AJ94" s="2"/>
      <c r="AK94" s="2"/>
      <c r="AL94" s="2"/>
      <c r="AM94" s="2"/>
      <c r="AN94" s="2"/>
      <c r="AO94" s="2"/>
      <c r="AP94" s="2"/>
      <c r="AQ94" s="2"/>
    </row>
    <row r="95" spans="1:43" ht="44.1" customHeight="1" thickBot="1">
      <c r="B95" s="235" t="s">
        <v>741</v>
      </c>
      <c r="C95" s="727"/>
      <c r="D95" s="728"/>
      <c r="E95" s="251"/>
      <c r="F95" s="251"/>
      <c r="G95" s="727"/>
      <c r="H95" s="728"/>
      <c r="I95" s="177"/>
      <c r="J95" s="229"/>
      <c r="K95" s="704"/>
      <c r="L95" s="705"/>
      <c r="M95" s="704"/>
      <c r="N95" s="705"/>
      <c r="O95" s="704"/>
      <c r="P95" s="705"/>
      <c r="Q95" s="704"/>
      <c r="R95" s="753"/>
      <c r="S95" s="705"/>
      <c r="T95" s="230"/>
      <c r="U95" s="2"/>
      <c r="V95" s="2"/>
      <c r="W95" s="2"/>
      <c r="X95" s="2"/>
      <c r="Y95" s="2"/>
      <c r="Z95" s="2"/>
      <c r="AA95" s="2"/>
      <c r="AB95" s="2"/>
      <c r="AC95" s="2"/>
      <c r="AD95" s="2"/>
      <c r="AE95" s="2"/>
      <c r="AF95" s="2"/>
      <c r="AG95" s="2"/>
      <c r="AH95" s="2"/>
      <c r="AI95" s="2"/>
      <c r="AJ95" s="2"/>
      <c r="AK95" s="2"/>
      <c r="AL95" s="2"/>
      <c r="AM95" s="2"/>
      <c r="AN95" s="2"/>
      <c r="AO95" s="2"/>
      <c r="AP95" s="2"/>
      <c r="AQ95" s="2"/>
    </row>
    <row r="96" spans="1:43" ht="44.1" customHeight="1">
      <c r="B96" s="235" t="s">
        <v>742</v>
      </c>
      <c r="C96" s="727"/>
      <c r="D96" s="728"/>
      <c r="E96" s="251"/>
      <c r="F96" s="251"/>
      <c r="G96" s="727"/>
      <c r="H96" s="728"/>
      <c r="I96" s="177"/>
      <c r="J96" s="750" t="s">
        <v>752</v>
      </c>
      <c r="K96" s="751"/>
      <c r="L96" s="751"/>
      <c r="M96" s="751"/>
      <c r="N96" s="751"/>
      <c r="O96" s="751"/>
      <c r="P96" s="751"/>
      <c r="Q96" s="751"/>
      <c r="R96" s="751"/>
      <c r="S96" s="751"/>
      <c r="T96" s="752"/>
      <c r="U96" s="2"/>
      <c r="V96" s="754"/>
      <c r="W96" s="754"/>
      <c r="X96" s="754"/>
      <c r="Y96" s="754"/>
      <c r="Z96" s="754"/>
      <c r="AA96" s="754"/>
      <c r="AB96" s="754"/>
      <c r="AC96" s="2"/>
      <c r="AD96" s="2"/>
      <c r="AE96" s="2"/>
      <c r="AF96" s="2"/>
      <c r="AG96" s="2"/>
      <c r="AH96" s="2"/>
      <c r="AI96" s="2"/>
      <c r="AJ96" s="2"/>
      <c r="AK96" s="2"/>
      <c r="AL96" s="2"/>
      <c r="AM96" s="2"/>
      <c r="AN96" s="2"/>
      <c r="AO96" s="2"/>
      <c r="AP96" s="2"/>
      <c r="AQ96" s="2"/>
    </row>
    <row r="97" spans="1:43" ht="44.1" customHeight="1">
      <c r="B97" s="235" t="s">
        <v>743</v>
      </c>
      <c r="C97" s="727"/>
      <c r="D97" s="728"/>
      <c r="E97" s="251"/>
      <c r="F97" s="251"/>
      <c r="G97" s="727"/>
      <c r="H97" s="728"/>
      <c r="I97" s="252"/>
      <c r="J97" s="729" t="s">
        <v>748</v>
      </c>
      <c r="K97" s="731" t="s">
        <v>755</v>
      </c>
      <c r="L97" s="732"/>
      <c r="M97" s="732"/>
      <c r="N97" s="733"/>
      <c r="O97" s="731" t="s">
        <v>749</v>
      </c>
      <c r="P97" s="732"/>
      <c r="Q97" s="732"/>
      <c r="R97" s="732"/>
      <c r="S97" s="732"/>
      <c r="T97" s="734"/>
      <c r="U97" s="2"/>
      <c r="V97" s="82"/>
      <c r="W97" s="83"/>
      <c r="X97" s="83"/>
      <c r="Y97" s="726"/>
      <c r="Z97" s="726"/>
      <c r="AA97" s="83"/>
      <c r="AB97" s="83"/>
      <c r="AC97" s="2"/>
      <c r="AD97" s="2"/>
      <c r="AE97" s="2"/>
      <c r="AF97" s="2"/>
      <c r="AG97" s="2"/>
      <c r="AH97" s="2"/>
      <c r="AI97" s="2"/>
      <c r="AJ97" s="2"/>
      <c r="AK97" s="2"/>
      <c r="AL97" s="2"/>
      <c r="AM97" s="2"/>
      <c r="AN97" s="2"/>
      <c r="AO97" s="2"/>
      <c r="AP97" s="2"/>
      <c r="AQ97" s="2"/>
    </row>
    <row r="98" spans="1:43" ht="44.1" customHeight="1">
      <c r="B98" s="235" t="s">
        <v>767</v>
      </c>
      <c r="C98" s="727"/>
      <c r="D98" s="728"/>
      <c r="E98" s="251"/>
      <c r="F98" s="251"/>
      <c r="G98" s="727"/>
      <c r="H98" s="728"/>
      <c r="I98" s="177"/>
      <c r="J98" s="730"/>
      <c r="K98" s="231" t="s">
        <v>750</v>
      </c>
      <c r="L98" s="231" t="s">
        <v>751</v>
      </c>
      <c r="M98" s="710" t="s">
        <v>754</v>
      </c>
      <c r="N98" s="711"/>
      <c r="O98" s="231" t="s">
        <v>750</v>
      </c>
      <c r="P98" s="710" t="s">
        <v>751</v>
      </c>
      <c r="Q98" s="711"/>
      <c r="R98" s="231"/>
      <c r="S98" s="710" t="s">
        <v>754</v>
      </c>
      <c r="T98" s="735"/>
      <c r="U98" s="2"/>
      <c r="V98" s="84"/>
      <c r="W98" s="85"/>
      <c r="X98" s="85"/>
      <c r="Y98" s="695"/>
      <c r="Z98" s="695"/>
      <c r="AA98" s="86"/>
      <c r="AB98" s="87"/>
      <c r="AC98" s="2"/>
      <c r="AD98" s="2"/>
      <c r="AE98" s="2"/>
      <c r="AF98" s="2"/>
      <c r="AG98" s="2"/>
      <c r="AH98" s="2"/>
      <c r="AI98" s="2"/>
      <c r="AJ98" s="2"/>
      <c r="AK98" s="2"/>
      <c r="AL98" s="2"/>
      <c r="AM98" s="2"/>
      <c r="AN98" s="2"/>
      <c r="AO98" s="2"/>
      <c r="AP98" s="2"/>
      <c r="AQ98" s="2"/>
    </row>
    <row r="99" spans="1:43" ht="44.1" customHeight="1" thickBot="1">
      <c r="B99" s="237" t="s">
        <v>788</v>
      </c>
      <c r="C99" s="724"/>
      <c r="D99" s="725"/>
      <c r="E99" s="253"/>
      <c r="F99" s="253"/>
      <c r="G99" s="724"/>
      <c r="H99" s="725"/>
      <c r="I99" s="254"/>
      <c r="J99" s="95"/>
      <c r="K99" s="94"/>
      <c r="L99" s="94"/>
      <c r="M99" s="708"/>
      <c r="N99" s="709"/>
      <c r="O99" s="94"/>
      <c r="P99" s="708"/>
      <c r="Q99" s="709"/>
      <c r="R99" s="94"/>
      <c r="S99" s="708"/>
      <c r="T99" s="712"/>
      <c r="U99" s="2"/>
      <c r="V99" s="84"/>
      <c r="W99" s="85"/>
      <c r="X99" s="85"/>
      <c r="Y99" s="695"/>
      <c r="Z99" s="695"/>
      <c r="AA99" s="86"/>
      <c r="AB99" s="87"/>
      <c r="AC99" s="2"/>
      <c r="AD99" s="2"/>
      <c r="AE99" s="2"/>
      <c r="AF99" s="2"/>
      <c r="AG99" s="2"/>
      <c r="AH99" s="2"/>
      <c r="AI99" s="2"/>
      <c r="AJ99" s="2"/>
      <c r="AK99" s="2"/>
      <c r="AL99" s="2"/>
      <c r="AM99" s="2"/>
      <c r="AN99" s="2"/>
      <c r="AO99" s="2"/>
      <c r="AP99" s="2"/>
      <c r="AQ99" s="2"/>
    </row>
    <row r="100" spans="1:43" ht="44.1" customHeight="1">
      <c r="B100" s="755"/>
      <c r="C100" s="756"/>
      <c r="D100" s="756"/>
      <c r="E100" s="756"/>
      <c r="F100" s="756"/>
      <c r="G100" s="756"/>
      <c r="H100" s="756"/>
      <c r="I100" s="757"/>
      <c r="J100" s="95"/>
      <c r="K100" s="94"/>
      <c r="L100" s="94"/>
      <c r="M100" s="708"/>
      <c r="N100" s="709"/>
      <c r="O100" s="94"/>
      <c r="P100" s="708"/>
      <c r="Q100" s="709"/>
      <c r="R100" s="94"/>
      <c r="S100" s="708"/>
      <c r="T100" s="712"/>
      <c r="U100" s="2"/>
      <c r="V100" s="84"/>
      <c r="W100" s="85"/>
      <c r="X100" s="85"/>
      <c r="Y100" s="695"/>
      <c r="Z100" s="695"/>
      <c r="AA100" s="86"/>
      <c r="AB100" s="87"/>
      <c r="AC100" s="2"/>
      <c r="AD100" s="2"/>
      <c r="AE100" s="2"/>
      <c r="AF100" s="2"/>
      <c r="AG100" s="2"/>
      <c r="AH100" s="2"/>
      <c r="AI100" s="2"/>
      <c r="AJ100" s="2"/>
      <c r="AK100" s="2"/>
      <c r="AL100" s="2"/>
      <c r="AM100" s="2"/>
      <c r="AN100" s="2"/>
      <c r="AO100" s="2"/>
      <c r="AP100" s="2"/>
      <c r="AQ100" s="2"/>
    </row>
    <row r="101" spans="1:43" ht="44.1" customHeight="1">
      <c r="B101" s="758"/>
      <c r="C101" s="759"/>
      <c r="D101" s="759"/>
      <c r="E101" s="759"/>
      <c r="F101" s="759"/>
      <c r="G101" s="759"/>
      <c r="H101" s="759"/>
      <c r="I101" s="760"/>
      <c r="J101" s="95"/>
      <c r="K101" s="94"/>
      <c r="L101" s="94"/>
      <c r="M101" s="708"/>
      <c r="N101" s="709"/>
      <c r="O101" s="94"/>
      <c r="P101" s="708"/>
      <c r="Q101" s="709"/>
      <c r="R101" s="94"/>
      <c r="S101" s="708"/>
      <c r="T101" s="712"/>
      <c r="U101" s="2"/>
      <c r="V101" s="84"/>
      <c r="W101" s="85"/>
      <c r="X101" s="85"/>
      <c r="Y101" s="695"/>
      <c r="Z101" s="695"/>
      <c r="AA101" s="86"/>
      <c r="AB101" s="87"/>
      <c r="AC101" s="2"/>
      <c r="AD101" s="2"/>
      <c r="AE101" s="2"/>
      <c r="AF101" s="2"/>
      <c r="AG101" s="2"/>
      <c r="AH101" s="2"/>
      <c r="AI101" s="2"/>
      <c r="AJ101" s="2"/>
      <c r="AK101" s="2"/>
      <c r="AL101" s="2"/>
      <c r="AM101" s="2"/>
      <c r="AN101" s="2"/>
      <c r="AO101" s="2"/>
      <c r="AP101" s="2"/>
      <c r="AQ101" s="2"/>
    </row>
    <row r="102" spans="1:43" ht="44.1" customHeight="1" thickBot="1">
      <c r="B102" s="761"/>
      <c r="C102" s="762"/>
      <c r="D102" s="762"/>
      <c r="E102" s="762"/>
      <c r="F102" s="762"/>
      <c r="G102" s="762"/>
      <c r="H102" s="762"/>
      <c r="I102" s="763"/>
      <c r="J102" s="96"/>
      <c r="K102" s="97"/>
      <c r="L102" s="97"/>
      <c r="M102" s="696"/>
      <c r="N102" s="697"/>
      <c r="O102" s="97"/>
      <c r="P102" s="696"/>
      <c r="Q102" s="697"/>
      <c r="R102" s="97"/>
      <c r="S102" s="696"/>
      <c r="T102" s="713"/>
      <c r="U102" s="2"/>
      <c r="V102" s="84"/>
      <c r="W102" s="85"/>
      <c r="X102" s="85"/>
      <c r="Y102" s="695"/>
      <c r="Z102" s="695"/>
      <c r="AA102" s="86"/>
      <c r="AB102" s="87"/>
      <c r="AC102" s="2"/>
      <c r="AD102" s="2"/>
      <c r="AE102" s="2"/>
      <c r="AF102" s="2"/>
      <c r="AG102" s="2"/>
      <c r="AH102" s="2"/>
      <c r="AI102" s="2"/>
      <c r="AJ102" s="2"/>
      <c r="AK102" s="2"/>
      <c r="AL102" s="2"/>
      <c r="AM102" s="2"/>
      <c r="AN102" s="2"/>
      <c r="AO102" s="2"/>
      <c r="AP102" s="2"/>
      <c r="AQ102" s="2"/>
    </row>
    <row r="103" spans="1:43" ht="24" customHeight="1">
      <c r="A103" s="2"/>
      <c r="B103" s="81"/>
      <c r="C103" s="723"/>
      <c r="D103" s="723"/>
      <c r="E103" s="81"/>
      <c r="F103" s="81"/>
      <c r="G103" s="723"/>
      <c r="H103" s="723"/>
      <c r="I103" s="24"/>
      <c r="J103" s="24"/>
      <c r="K103" s="24"/>
      <c r="L103" s="24"/>
      <c r="M103" s="24"/>
      <c r="N103" s="24"/>
      <c r="O103" s="24"/>
      <c r="P103" s="24"/>
      <c r="Q103" s="24"/>
      <c r="R103" s="24"/>
      <c r="S103" s="24"/>
      <c r="T103" s="24"/>
      <c r="U103" s="2"/>
      <c r="V103" s="84"/>
      <c r="W103" s="85"/>
      <c r="X103" s="85"/>
      <c r="Y103" s="695"/>
      <c r="Z103" s="695"/>
      <c r="AA103" s="86"/>
      <c r="AB103" s="87"/>
      <c r="AC103" s="2"/>
      <c r="AD103" s="2"/>
      <c r="AE103" s="2"/>
      <c r="AF103" s="2"/>
      <c r="AG103" s="2"/>
      <c r="AH103" s="2"/>
      <c r="AI103" s="2"/>
      <c r="AJ103" s="2"/>
      <c r="AK103" s="2"/>
      <c r="AL103" s="2"/>
      <c r="AM103" s="2"/>
      <c r="AN103" s="2"/>
      <c r="AO103" s="2"/>
      <c r="AP103" s="2"/>
      <c r="AQ103" s="2"/>
    </row>
    <row r="104" spans="1:43" ht="24" customHeight="1">
      <c r="A104" s="2"/>
      <c r="B104" s="24"/>
      <c r="C104" s="24"/>
      <c r="D104" s="24"/>
      <c r="E104" s="24"/>
      <c r="F104" s="24"/>
      <c r="G104" s="24"/>
      <c r="H104" s="24"/>
      <c r="I104" s="24"/>
      <c r="J104" s="24"/>
      <c r="K104" s="24"/>
      <c r="L104" s="24"/>
      <c r="M104" s="24"/>
      <c r="N104" s="24"/>
      <c r="O104" s="24"/>
      <c r="P104" s="24"/>
      <c r="Q104" s="24"/>
      <c r="R104" s="24"/>
      <c r="S104" s="24"/>
      <c r="T104" s="24"/>
      <c r="U104" s="2"/>
      <c r="V104" s="88"/>
      <c r="W104" s="85"/>
      <c r="X104" s="85"/>
      <c r="Y104" s="695"/>
      <c r="Z104" s="695"/>
      <c r="AA104" s="86"/>
      <c r="AB104" s="87"/>
      <c r="AC104" s="2"/>
      <c r="AD104" s="2"/>
      <c r="AE104" s="2"/>
      <c r="AF104" s="2"/>
      <c r="AG104" s="2"/>
      <c r="AH104" s="2"/>
      <c r="AI104" s="2"/>
      <c r="AJ104" s="2"/>
      <c r="AK104" s="2"/>
      <c r="AL104" s="2"/>
      <c r="AM104" s="2"/>
      <c r="AN104" s="2"/>
      <c r="AO104" s="2"/>
      <c r="AP104" s="2"/>
      <c r="AQ104" s="2"/>
    </row>
    <row r="105" spans="1:43" ht="15">
      <c r="A105" s="2"/>
      <c r="B105" s="24"/>
      <c r="C105" s="24"/>
      <c r="D105" s="24"/>
      <c r="E105" s="24"/>
      <c r="F105" s="24"/>
      <c r="G105" s="24"/>
      <c r="H105" s="24"/>
      <c r="I105" s="24"/>
      <c r="J105" s="24"/>
      <c r="K105" s="24"/>
      <c r="L105" s="24"/>
      <c r="M105" s="24"/>
      <c r="N105" s="24"/>
      <c r="O105" s="24"/>
      <c r="P105" s="24"/>
      <c r="Q105" s="24"/>
      <c r="R105" s="24"/>
      <c r="S105" s="24"/>
      <c r="T105" s="24"/>
      <c r="U105" s="2"/>
      <c r="V105" s="88"/>
      <c r="W105" s="85"/>
      <c r="X105" s="85"/>
      <c r="Y105" s="695"/>
      <c r="Z105" s="695"/>
      <c r="AA105" s="86"/>
      <c r="AB105" s="87"/>
      <c r="AC105" s="2"/>
      <c r="AD105" s="2"/>
      <c r="AE105" s="2"/>
      <c r="AF105" s="2"/>
      <c r="AG105" s="2"/>
      <c r="AH105" s="2"/>
      <c r="AI105" s="2"/>
      <c r="AJ105" s="2"/>
      <c r="AK105" s="2"/>
      <c r="AL105" s="2"/>
      <c r="AM105" s="2"/>
      <c r="AN105" s="2"/>
      <c r="AO105" s="2"/>
      <c r="AP105" s="2"/>
      <c r="AQ105" s="2"/>
    </row>
    <row r="106" spans="1:43" ht="15">
      <c r="A106" s="2"/>
      <c r="B106" s="24"/>
      <c r="C106" s="24"/>
      <c r="D106" s="24"/>
      <c r="E106" s="24"/>
      <c r="F106" s="24"/>
      <c r="G106" s="24"/>
      <c r="H106" s="24"/>
      <c r="I106" s="24"/>
      <c r="J106" s="24"/>
      <c r="K106" s="24"/>
      <c r="L106" s="24"/>
      <c r="M106" s="24"/>
      <c r="N106" s="24"/>
      <c r="O106" s="24"/>
      <c r="P106" s="24"/>
      <c r="Q106" s="24"/>
      <c r="R106" s="24"/>
      <c r="S106" s="24"/>
      <c r="T106" s="24"/>
      <c r="U106" s="2"/>
      <c r="V106" s="89"/>
      <c r="W106" s="85"/>
      <c r="X106" s="85"/>
      <c r="Y106" s="695"/>
      <c r="Z106" s="695"/>
      <c r="AA106" s="86"/>
      <c r="AB106" s="86"/>
      <c r="AC106" s="2"/>
      <c r="AD106" s="2"/>
      <c r="AE106" s="2"/>
      <c r="AF106" s="2"/>
      <c r="AG106" s="2"/>
      <c r="AH106" s="2"/>
      <c r="AI106" s="2"/>
      <c r="AJ106" s="2"/>
      <c r="AK106" s="2"/>
      <c r="AL106" s="2"/>
      <c r="AM106" s="2"/>
      <c r="AN106" s="2"/>
      <c r="AO106" s="2"/>
      <c r="AP106" s="2"/>
      <c r="AQ106" s="2"/>
    </row>
    <row r="107" spans="1:43" ht="15">
      <c r="A107" s="2"/>
      <c r="B107" s="24"/>
      <c r="C107" s="24"/>
      <c r="D107" s="24"/>
      <c r="E107" s="24"/>
      <c r="F107" s="24"/>
      <c r="G107" s="24"/>
      <c r="H107" s="24"/>
      <c r="I107" s="24"/>
      <c r="J107" s="24"/>
      <c r="K107" s="24"/>
      <c r="L107" s="24"/>
      <c r="M107" s="24"/>
      <c r="N107" s="24"/>
      <c r="O107" s="24"/>
      <c r="P107" s="24"/>
      <c r="Q107" s="24"/>
      <c r="R107" s="24"/>
      <c r="S107" s="24"/>
      <c r="T107" s="24"/>
      <c r="U107" s="2"/>
      <c r="V107" s="89"/>
      <c r="W107" s="85"/>
      <c r="X107" s="85"/>
      <c r="Y107" s="695"/>
      <c r="Z107" s="695"/>
      <c r="AA107" s="86"/>
      <c r="AB107" s="86"/>
      <c r="AC107" s="2"/>
      <c r="AD107" s="2"/>
      <c r="AE107" s="2"/>
      <c r="AF107" s="2"/>
      <c r="AG107" s="2"/>
      <c r="AH107" s="2"/>
      <c r="AI107" s="2"/>
      <c r="AJ107" s="2"/>
      <c r="AK107" s="2"/>
      <c r="AL107" s="2"/>
      <c r="AM107" s="2"/>
      <c r="AN107" s="2"/>
      <c r="AO107" s="2"/>
      <c r="AP107" s="2"/>
      <c r="AQ107" s="2"/>
    </row>
    <row r="108" spans="1:43" ht="15">
      <c r="A108" s="2"/>
      <c r="B108" s="24"/>
      <c r="C108" s="24"/>
      <c r="D108" s="24"/>
      <c r="E108" s="24"/>
      <c r="F108" s="24"/>
      <c r="G108" s="24"/>
      <c r="H108" s="24"/>
      <c r="I108" s="24"/>
      <c r="J108" s="24"/>
      <c r="K108" s="24"/>
      <c r="L108" s="24"/>
      <c r="M108" s="24"/>
      <c r="N108" s="24"/>
      <c r="O108" s="24"/>
      <c r="P108" s="24"/>
      <c r="Q108" s="24"/>
      <c r="R108" s="24"/>
      <c r="S108" s="24"/>
      <c r="T108" s="24"/>
      <c r="U108" s="2"/>
      <c r="V108" s="90"/>
      <c r="W108" s="85"/>
      <c r="X108" s="85"/>
      <c r="Y108" s="695"/>
      <c r="Z108" s="695"/>
      <c r="AA108" s="86"/>
      <c r="AB108" s="86"/>
      <c r="AC108" s="2"/>
      <c r="AD108" s="2"/>
      <c r="AE108" s="2"/>
      <c r="AF108" s="2"/>
      <c r="AG108" s="2"/>
      <c r="AH108" s="2"/>
      <c r="AI108" s="2"/>
      <c r="AJ108" s="2"/>
      <c r="AK108" s="2"/>
      <c r="AL108" s="2"/>
      <c r="AM108" s="2"/>
      <c r="AN108" s="2"/>
      <c r="AO108" s="2"/>
      <c r="AP108" s="2"/>
      <c r="AQ108" s="2"/>
    </row>
    <row r="109" spans="1:43" ht="15">
      <c r="A109" s="2"/>
      <c r="B109" s="24"/>
      <c r="C109" s="24"/>
      <c r="D109" s="24"/>
      <c r="E109" s="24"/>
      <c r="F109" s="24"/>
      <c r="G109" s="24"/>
      <c r="H109" s="24"/>
      <c r="I109" s="24"/>
      <c r="J109" s="24"/>
      <c r="K109" s="24"/>
      <c r="L109" s="24"/>
      <c r="M109" s="24"/>
      <c r="N109" s="24"/>
      <c r="O109" s="24"/>
      <c r="P109" s="24"/>
      <c r="Q109" s="24"/>
      <c r="R109" s="24"/>
      <c r="S109" s="24"/>
      <c r="T109" s="24"/>
      <c r="U109" s="2"/>
      <c r="V109" s="88"/>
      <c r="W109" s="85"/>
      <c r="X109" s="85"/>
      <c r="Y109" s="695"/>
      <c r="Z109" s="695"/>
      <c r="AA109" s="86"/>
      <c r="AB109" s="86"/>
      <c r="AC109" s="2"/>
      <c r="AD109" s="2"/>
      <c r="AE109" s="2"/>
      <c r="AF109" s="2"/>
      <c r="AG109" s="2"/>
      <c r="AH109" s="2"/>
      <c r="AI109" s="2"/>
      <c r="AJ109" s="2"/>
      <c r="AK109" s="2"/>
      <c r="AL109" s="2"/>
      <c r="AM109" s="2"/>
      <c r="AN109" s="2"/>
      <c r="AO109" s="2"/>
      <c r="AP109" s="2"/>
      <c r="AQ109" s="2"/>
    </row>
    <row r="110" spans="1:43">
      <c r="A110" s="2"/>
      <c r="B110" s="24"/>
      <c r="C110" s="24"/>
      <c r="D110" s="24"/>
      <c r="E110" s="24"/>
      <c r="F110" s="24"/>
      <c r="G110" s="24"/>
      <c r="H110" s="24"/>
      <c r="I110" s="24"/>
      <c r="J110" s="24"/>
      <c r="K110" s="24"/>
      <c r="L110" s="24"/>
      <c r="M110" s="24"/>
      <c r="N110" s="24"/>
      <c r="O110" s="24"/>
      <c r="P110" s="24"/>
      <c r="Q110" s="24"/>
      <c r="R110" s="24"/>
      <c r="S110" s="24"/>
      <c r="T110" s="24"/>
      <c r="U110" s="2"/>
      <c r="V110" s="2"/>
      <c r="W110" s="2"/>
      <c r="X110" s="2"/>
      <c r="Y110" s="2"/>
      <c r="Z110" s="2"/>
      <c r="AA110" s="2"/>
      <c r="AB110" s="2"/>
      <c r="AC110" s="2"/>
      <c r="AD110" s="2"/>
      <c r="AE110" s="2"/>
      <c r="AF110" s="2"/>
      <c r="AG110" s="2"/>
      <c r="AH110" s="2"/>
      <c r="AI110" s="2"/>
      <c r="AJ110" s="2"/>
      <c r="AK110" s="2"/>
      <c r="AL110" s="2"/>
      <c r="AM110" s="2"/>
      <c r="AN110" s="2"/>
      <c r="AO110" s="2"/>
      <c r="AP110" s="2"/>
      <c r="AQ110" s="2"/>
    </row>
    <row r="111" spans="1:43">
      <c r="A111" s="2"/>
      <c r="B111" s="24"/>
      <c r="C111" s="24"/>
      <c r="D111" s="24"/>
      <c r="E111" s="24"/>
      <c r="F111" s="24"/>
      <c r="G111" s="24"/>
      <c r="H111" s="24"/>
      <c r="I111" s="24"/>
      <c r="J111" s="24"/>
      <c r="K111" s="24"/>
      <c r="L111" s="24"/>
      <c r="M111" s="24"/>
      <c r="N111" s="24"/>
      <c r="O111" s="24"/>
      <c r="P111" s="24"/>
      <c r="Q111" s="24"/>
      <c r="R111" s="24"/>
      <c r="S111" s="24"/>
      <c r="T111" s="24"/>
      <c r="U111" s="2"/>
      <c r="V111" s="2"/>
      <c r="W111" s="2"/>
      <c r="X111" s="2"/>
      <c r="Y111" s="2"/>
      <c r="Z111" s="2"/>
      <c r="AA111" s="2"/>
      <c r="AB111" s="2"/>
    </row>
    <row r="112" spans="1:43">
      <c r="A112" s="2"/>
      <c r="B112" s="24"/>
      <c r="C112" s="24"/>
      <c r="D112" s="24"/>
      <c r="E112" s="24"/>
      <c r="F112" s="24"/>
      <c r="G112" s="24"/>
      <c r="H112" s="24"/>
      <c r="I112" s="24"/>
      <c r="J112" s="24"/>
      <c r="K112" s="24"/>
      <c r="L112" s="24"/>
      <c r="M112" s="24"/>
      <c r="N112" s="24"/>
      <c r="O112" s="24"/>
      <c r="P112" s="24"/>
      <c r="Q112" s="24"/>
      <c r="R112" s="24"/>
      <c r="S112" s="24"/>
      <c r="T112" s="24"/>
      <c r="U112" s="2"/>
    </row>
    <row r="113" spans="1:21">
      <c r="A113" s="2"/>
      <c r="B113" s="24"/>
      <c r="C113" s="24"/>
      <c r="D113" s="24"/>
      <c r="E113" s="24"/>
      <c r="F113" s="24"/>
      <c r="G113" s="24"/>
      <c r="H113" s="24"/>
      <c r="I113" s="24"/>
      <c r="J113" s="24"/>
      <c r="K113" s="24"/>
      <c r="L113" s="24"/>
      <c r="M113" s="24"/>
      <c r="N113" s="24"/>
      <c r="O113" s="24"/>
      <c r="P113" s="24"/>
      <c r="Q113" s="24"/>
      <c r="R113" s="24"/>
      <c r="S113" s="24"/>
      <c r="T113" s="24"/>
      <c r="U113" s="2"/>
    </row>
    <row r="114" spans="1:21">
      <c r="A114" s="2"/>
      <c r="B114" s="24"/>
      <c r="C114" s="24"/>
      <c r="D114" s="24"/>
      <c r="E114" s="24"/>
      <c r="F114" s="24"/>
      <c r="G114" s="24"/>
      <c r="H114" s="24"/>
      <c r="I114" s="24"/>
      <c r="J114" s="24"/>
      <c r="K114" s="24"/>
      <c r="L114" s="24"/>
      <c r="M114" s="24"/>
      <c r="N114" s="24"/>
      <c r="O114" s="24"/>
      <c r="P114" s="24"/>
      <c r="Q114" s="24"/>
      <c r="R114" s="24"/>
      <c r="S114" s="24"/>
      <c r="T114" s="24"/>
      <c r="U114" s="2"/>
    </row>
  </sheetData>
  <mergeCells count="412">
    <mergeCell ref="B16:D24"/>
    <mergeCell ref="B37:D37"/>
    <mergeCell ref="B42:D42"/>
    <mergeCell ref="B41:D41"/>
    <mergeCell ref="J34:K34"/>
    <mergeCell ref="B40:D40"/>
    <mergeCell ref="B38:D38"/>
    <mergeCell ref="B39:D39"/>
    <mergeCell ref="J33:M33"/>
    <mergeCell ref="B30:D30"/>
    <mergeCell ref="E33:F33"/>
    <mergeCell ref="G36:H36"/>
    <mergeCell ref="G35:H35"/>
    <mergeCell ref="B35:D36"/>
    <mergeCell ref="E34:I34"/>
    <mergeCell ref="G27:I27"/>
    <mergeCell ref="G28:I28"/>
    <mergeCell ref="G29:I29"/>
    <mergeCell ref="B32:D32"/>
    <mergeCell ref="G30:I30"/>
    <mergeCell ref="G31:I31"/>
    <mergeCell ref="G32:I32"/>
    <mergeCell ref="B31:D31"/>
    <mergeCell ref="B34:D34"/>
    <mergeCell ref="B46:E46"/>
    <mergeCell ref="F46:I46"/>
    <mergeCell ref="N38:O38"/>
    <mergeCell ref="N43:O43"/>
    <mergeCell ref="G40:H40"/>
    <mergeCell ref="J40:K40"/>
    <mergeCell ref="N40:O40"/>
    <mergeCell ref="G38:H38"/>
    <mergeCell ref="G39:H39"/>
    <mergeCell ref="J44:K44"/>
    <mergeCell ref="J41:K41"/>
    <mergeCell ref="G41:H41"/>
    <mergeCell ref="J45:K45"/>
    <mergeCell ref="J43:K43"/>
    <mergeCell ref="N46:O46"/>
    <mergeCell ref="J46:K46"/>
    <mergeCell ref="N44:O44"/>
    <mergeCell ref="N39:O39"/>
    <mergeCell ref="K78:L78"/>
    <mergeCell ref="G86:I86"/>
    <mergeCell ref="K85:L85"/>
    <mergeCell ref="S85:T85"/>
    <mergeCell ref="S83:T83"/>
    <mergeCell ref="S84:T84"/>
    <mergeCell ref="G80:I80"/>
    <mergeCell ref="K81:L81"/>
    <mergeCell ref="N82:O82"/>
    <mergeCell ref="Q81:R81"/>
    <mergeCell ref="N80:T80"/>
    <mergeCell ref="N84:O84"/>
    <mergeCell ref="N85:O85"/>
    <mergeCell ref="Q84:R84"/>
    <mergeCell ref="Q83:R83"/>
    <mergeCell ref="S81:T81"/>
    <mergeCell ref="S82:T82"/>
    <mergeCell ref="N83:O83"/>
    <mergeCell ref="G83:I83"/>
    <mergeCell ref="K80:M80"/>
    <mergeCell ref="N81:O81"/>
    <mergeCell ref="Q82:R82"/>
    <mergeCell ref="Q85:R85"/>
    <mergeCell ref="K84:L84"/>
    <mergeCell ref="G79:I79"/>
    <mergeCell ref="C82:D82"/>
    <mergeCell ref="C81:D81"/>
    <mergeCell ref="C80:D80"/>
    <mergeCell ref="C78:D78"/>
    <mergeCell ref="C79:D79"/>
    <mergeCell ref="C86:D86"/>
    <mergeCell ref="C83:D83"/>
    <mergeCell ref="C84:D84"/>
    <mergeCell ref="G85:I85"/>
    <mergeCell ref="G81:I81"/>
    <mergeCell ref="G84:I84"/>
    <mergeCell ref="G82:I82"/>
    <mergeCell ref="B29:D29"/>
    <mergeCell ref="N9:O9"/>
    <mergeCell ref="J7:K7"/>
    <mergeCell ref="N7:O7"/>
    <mergeCell ref="B8:I8"/>
    <mergeCell ref="J8:K8"/>
    <mergeCell ref="N8:O8"/>
    <mergeCell ref="G9:I9"/>
    <mergeCell ref="E10:F10"/>
    <mergeCell ref="B27:D27"/>
    <mergeCell ref="E15:F15"/>
    <mergeCell ref="E14:F14"/>
    <mergeCell ref="B14:D14"/>
    <mergeCell ref="B15:D15"/>
    <mergeCell ref="J14:K14"/>
    <mergeCell ref="E9:F9"/>
    <mergeCell ref="J9:J10"/>
    <mergeCell ref="L9:L10"/>
    <mergeCell ref="M9:M10"/>
    <mergeCell ref="B10:D10"/>
    <mergeCell ref="G10:I10"/>
    <mergeCell ref="B13:D13"/>
    <mergeCell ref="B11:D11"/>
    <mergeCell ref="G12:I12"/>
    <mergeCell ref="G11:I11"/>
    <mergeCell ref="N48:O48"/>
    <mergeCell ref="N45:O45"/>
    <mergeCell ref="J54:K54"/>
    <mergeCell ref="N51:O51"/>
    <mergeCell ref="L52:M52"/>
    <mergeCell ref="L54:M54"/>
    <mergeCell ref="N36:O36"/>
    <mergeCell ref="J42:K42"/>
    <mergeCell ref="N41:O41"/>
    <mergeCell ref="N33:O33"/>
    <mergeCell ref="N35:O35"/>
    <mergeCell ref="N42:O42"/>
    <mergeCell ref="G33:I33"/>
    <mergeCell ref="J37:K37"/>
    <mergeCell ref="G37:H37"/>
    <mergeCell ref="N34:O34"/>
    <mergeCell ref="J11:K11"/>
    <mergeCell ref="N26:O26"/>
    <mergeCell ref="N27:O27"/>
    <mergeCell ref="N25:O25"/>
    <mergeCell ref="J26:K26"/>
    <mergeCell ref="J27:K27"/>
    <mergeCell ref="J38:K38"/>
    <mergeCell ref="B76:B77"/>
    <mergeCell ref="F76:F77"/>
    <mergeCell ref="J76:J77"/>
    <mergeCell ref="K72:L72"/>
    <mergeCell ref="K75:L75"/>
    <mergeCell ref="K74:M74"/>
    <mergeCell ref="B75:J75"/>
    <mergeCell ref="N74:O74"/>
    <mergeCell ref="G74:H74"/>
    <mergeCell ref="N75:O75"/>
    <mergeCell ref="N76:O76"/>
    <mergeCell ref="C76:D77"/>
    <mergeCell ref="G76:I77"/>
    <mergeCell ref="B72:C72"/>
    <mergeCell ref="K73:L73"/>
    <mergeCell ref="G72:H72"/>
    <mergeCell ref="G73:H73"/>
    <mergeCell ref="N72:O72"/>
    <mergeCell ref="N73:O73"/>
    <mergeCell ref="E76:E77"/>
    <mergeCell ref="B68:D68"/>
    <mergeCell ref="O65:P65"/>
    <mergeCell ref="O66:P66"/>
    <mergeCell ref="B69:J69"/>
    <mergeCell ref="G71:H71"/>
    <mergeCell ref="B70:C70"/>
    <mergeCell ref="Q74:R74"/>
    <mergeCell ref="B73:C73"/>
    <mergeCell ref="B74:C74"/>
    <mergeCell ref="B71:C71"/>
    <mergeCell ref="Q72:R72"/>
    <mergeCell ref="Q73:R73"/>
    <mergeCell ref="N71:O71"/>
    <mergeCell ref="N70:O70"/>
    <mergeCell ref="N69:T69"/>
    <mergeCell ref="Q70:R70"/>
    <mergeCell ref="Q71:R71"/>
    <mergeCell ref="K71:L71"/>
    <mergeCell ref="F68:H68"/>
    <mergeCell ref="G70:H70"/>
    <mergeCell ref="Q68:R68"/>
    <mergeCell ref="K70:L70"/>
    <mergeCell ref="K69:M69"/>
    <mergeCell ref="AF2:AI4"/>
    <mergeCell ref="J6:M6"/>
    <mergeCell ref="N6:T6"/>
    <mergeCell ref="C3:S3"/>
    <mergeCell ref="N10:O10"/>
    <mergeCell ref="B9:D9"/>
    <mergeCell ref="G42:H42"/>
    <mergeCell ref="B28:D28"/>
    <mergeCell ref="B33:D33"/>
    <mergeCell ref="C4:S4"/>
    <mergeCell ref="F6:F7"/>
    <mergeCell ref="B6:D6"/>
    <mergeCell ref="B7:D7"/>
    <mergeCell ref="B12:D12"/>
    <mergeCell ref="J12:K12"/>
    <mergeCell ref="E11:F11"/>
    <mergeCell ref="E13:F13"/>
    <mergeCell ref="E12:F12"/>
    <mergeCell ref="G16:H16"/>
    <mergeCell ref="J17:K17"/>
    <mergeCell ref="E17:E18"/>
    <mergeCell ref="F23:F24"/>
    <mergeCell ref="E21:E22"/>
    <mergeCell ref="E19:E20"/>
    <mergeCell ref="E27:F27"/>
    <mergeCell ref="E28:F28"/>
    <mergeCell ref="E29:F29"/>
    <mergeCell ref="E30:F30"/>
    <mergeCell ref="Q78:R78"/>
    <mergeCell ref="Q79:R79"/>
    <mergeCell ref="Q75:R75"/>
    <mergeCell ref="K79:L79"/>
    <mergeCell ref="K77:L77"/>
    <mergeCell ref="N79:O79"/>
    <mergeCell ref="Q77:R77"/>
    <mergeCell ref="N77:O77"/>
    <mergeCell ref="N78:O78"/>
    <mergeCell ref="K76:L76"/>
    <mergeCell ref="Q76:R76"/>
    <mergeCell ref="R52:S52"/>
    <mergeCell ref="L53:M53"/>
    <mergeCell ref="J52:K52"/>
    <mergeCell ref="N53:O53"/>
    <mergeCell ref="P52:Q52"/>
    <mergeCell ref="P51:Q51"/>
    <mergeCell ref="R53:S53"/>
    <mergeCell ref="Q57:R57"/>
    <mergeCell ref="P55:Q55"/>
    <mergeCell ref="B25:D26"/>
    <mergeCell ref="N12:O12"/>
    <mergeCell ref="G13:I13"/>
    <mergeCell ref="G15:I15"/>
    <mergeCell ref="G14:I14"/>
    <mergeCell ref="N14:O14"/>
    <mergeCell ref="J13:K13"/>
    <mergeCell ref="N23:O23"/>
    <mergeCell ref="N21:O21"/>
    <mergeCell ref="N24:O24"/>
    <mergeCell ref="N17:O17"/>
    <mergeCell ref="N18:O18"/>
    <mergeCell ref="N19:O19"/>
    <mergeCell ref="N22:O22"/>
    <mergeCell ref="J21:K21"/>
    <mergeCell ref="N20:O20"/>
    <mergeCell ref="J22:K22"/>
    <mergeCell ref="J23:K23"/>
    <mergeCell ref="F19:F20"/>
    <mergeCell ref="E25:F26"/>
    <mergeCell ref="G25:I26"/>
    <mergeCell ref="J25:K25"/>
    <mergeCell ref="G19:H20"/>
    <mergeCell ref="G21:H22"/>
    <mergeCell ref="F17:F18"/>
    <mergeCell ref="G17:H18"/>
    <mergeCell ref="F21:F22"/>
    <mergeCell ref="E23:E24"/>
    <mergeCell ref="J18:K18"/>
    <mergeCell ref="N11:O11"/>
    <mergeCell ref="J32:K32"/>
    <mergeCell ref="J20:K20"/>
    <mergeCell ref="I23:I24"/>
    <mergeCell ref="N32:O32"/>
    <mergeCell ref="J24:K24"/>
    <mergeCell ref="I17:I18"/>
    <mergeCell ref="N16:O16"/>
    <mergeCell ref="J16:K16"/>
    <mergeCell ref="I19:I20"/>
    <mergeCell ref="I21:I22"/>
    <mergeCell ref="J19:K19"/>
    <mergeCell ref="J31:K31"/>
    <mergeCell ref="J29:K29"/>
    <mergeCell ref="J30:K30"/>
    <mergeCell ref="E31:F31"/>
    <mergeCell ref="J28:K28"/>
    <mergeCell ref="G23:H24"/>
    <mergeCell ref="E32:F32"/>
    <mergeCell ref="N28:O28"/>
    <mergeCell ref="N29:O29"/>
    <mergeCell ref="N30:O30"/>
    <mergeCell ref="N15:O15"/>
    <mergeCell ref="N13:O13"/>
    <mergeCell ref="J15:K15"/>
    <mergeCell ref="J35:K35"/>
    <mergeCell ref="J36:K36"/>
    <mergeCell ref="P54:Q54"/>
    <mergeCell ref="N54:O54"/>
    <mergeCell ref="R54:S54"/>
    <mergeCell ref="O67:P67"/>
    <mergeCell ref="O68:P68"/>
    <mergeCell ref="O58:P58"/>
    <mergeCell ref="O59:P59"/>
    <mergeCell ref="O60:P60"/>
    <mergeCell ref="N37:O37"/>
    <mergeCell ref="N49:O49"/>
    <mergeCell ref="N47:O47"/>
    <mergeCell ref="J50:T50"/>
    <mergeCell ref="P53:Q53"/>
    <mergeCell ref="L55:M55"/>
    <mergeCell ref="O62:P62"/>
    <mergeCell ref="J55:K55"/>
    <mergeCell ref="O64:P64"/>
    <mergeCell ref="J56:T56"/>
    <mergeCell ref="O63:P63"/>
    <mergeCell ref="R55:S55"/>
    <mergeCell ref="N55:O55"/>
    <mergeCell ref="M94:N94"/>
    <mergeCell ref="O93:P93"/>
    <mergeCell ref="G93:H93"/>
    <mergeCell ref="G94:H94"/>
    <mergeCell ref="G95:H95"/>
    <mergeCell ref="K82:L82"/>
    <mergeCell ref="K83:L83"/>
    <mergeCell ref="N31:O31"/>
    <mergeCell ref="L34:M34"/>
    <mergeCell ref="L35:M35"/>
    <mergeCell ref="L36:M36"/>
    <mergeCell ref="L37:M37"/>
    <mergeCell ref="J49:K49"/>
    <mergeCell ref="J47:K47"/>
    <mergeCell ref="J53:K53"/>
    <mergeCell ref="J48:K48"/>
    <mergeCell ref="L51:M51"/>
    <mergeCell ref="O57:P57"/>
    <mergeCell ref="N52:O52"/>
    <mergeCell ref="J51:K51"/>
    <mergeCell ref="O61:P61"/>
    <mergeCell ref="G78:I78"/>
    <mergeCell ref="G87:I87"/>
    <mergeCell ref="K86:L86"/>
    <mergeCell ref="Q92:S92"/>
    <mergeCell ref="Q93:S93"/>
    <mergeCell ref="S86:T86"/>
    <mergeCell ref="N88:O88"/>
    <mergeCell ref="S88:T88"/>
    <mergeCell ref="Q91:S91"/>
    <mergeCell ref="J90:J91"/>
    <mergeCell ref="T90:T91"/>
    <mergeCell ref="O91:P91"/>
    <mergeCell ref="M92:N92"/>
    <mergeCell ref="M93:N93"/>
    <mergeCell ref="M91:N91"/>
    <mergeCell ref="N86:O86"/>
    <mergeCell ref="K87:L87"/>
    <mergeCell ref="J96:T96"/>
    <mergeCell ref="M99:N99"/>
    <mergeCell ref="C96:D96"/>
    <mergeCell ref="M100:N100"/>
    <mergeCell ref="S99:T99"/>
    <mergeCell ref="C95:D95"/>
    <mergeCell ref="Q95:S95"/>
    <mergeCell ref="S100:T100"/>
    <mergeCell ref="Y103:Z103"/>
    <mergeCell ref="C97:D97"/>
    <mergeCell ref="C98:D98"/>
    <mergeCell ref="G96:H96"/>
    <mergeCell ref="V96:AB96"/>
    <mergeCell ref="B100:I102"/>
    <mergeCell ref="K95:L95"/>
    <mergeCell ref="C90:D90"/>
    <mergeCell ref="C88:D88"/>
    <mergeCell ref="C85:D85"/>
    <mergeCell ref="C91:D91"/>
    <mergeCell ref="C92:D92"/>
    <mergeCell ref="C93:D93"/>
    <mergeCell ref="C94:D94"/>
    <mergeCell ref="K93:L93"/>
    <mergeCell ref="K94:L94"/>
    <mergeCell ref="G88:I88"/>
    <mergeCell ref="B89:I89"/>
    <mergeCell ref="K88:L88"/>
    <mergeCell ref="G92:H92"/>
    <mergeCell ref="G91:H91"/>
    <mergeCell ref="K91:L91"/>
    <mergeCell ref="G90:I90"/>
    <mergeCell ref="Q94:S94"/>
    <mergeCell ref="O94:P94"/>
    <mergeCell ref="K92:L92"/>
    <mergeCell ref="N87:O87"/>
    <mergeCell ref="C87:D87"/>
    <mergeCell ref="Q88:R88"/>
    <mergeCell ref="K90:N90"/>
    <mergeCell ref="O90:S90"/>
    <mergeCell ref="Y106:Z106"/>
    <mergeCell ref="C103:D103"/>
    <mergeCell ref="C99:D99"/>
    <mergeCell ref="G99:H99"/>
    <mergeCell ref="Y97:Z97"/>
    <mergeCell ref="Y98:Z98"/>
    <mergeCell ref="G97:H97"/>
    <mergeCell ref="G98:H98"/>
    <mergeCell ref="J97:J98"/>
    <mergeCell ref="K97:N97"/>
    <mergeCell ref="O97:T97"/>
    <mergeCell ref="M98:N98"/>
    <mergeCell ref="S98:T98"/>
    <mergeCell ref="Y99:Z99"/>
    <mergeCell ref="G103:H103"/>
    <mergeCell ref="Y102:Z102"/>
    <mergeCell ref="Y107:Z107"/>
    <mergeCell ref="M102:N102"/>
    <mergeCell ref="Q63:R63"/>
    <mergeCell ref="Y108:Z108"/>
    <mergeCell ref="Y109:Z109"/>
    <mergeCell ref="Q86:R86"/>
    <mergeCell ref="Y105:Z105"/>
    <mergeCell ref="J89:T89"/>
    <mergeCell ref="Y104:Z104"/>
    <mergeCell ref="O95:P95"/>
    <mergeCell ref="Y100:Z100"/>
    <mergeCell ref="Y101:Z101"/>
    <mergeCell ref="S87:T87"/>
    <mergeCell ref="M101:N101"/>
    <mergeCell ref="P98:Q98"/>
    <mergeCell ref="P99:Q99"/>
    <mergeCell ref="P102:Q102"/>
    <mergeCell ref="S101:T101"/>
    <mergeCell ref="S102:T102"/>
    <mergeCell ref="Q87:R87"/>
    <mergeCell ref="P100:Q100"/>
    <mergeCell ref="P101:Q101"/>
    <mergeCell ref="M95:N95"/>
    <mergeCell ref="O92:P92"/>
  </mergeCells>
  <pageMargins left="0" right="0" top="0" bottom="0" header="0" footer="0"/>
  <pageSetup scale="17" orientation="portrait" r:id="rId1"/>
  <ignoredErrors>
    <ignoredError sqref="M79" unlockedFormula="1"/>
  </ignoredErrors>
  <drawing r:id="rId2"/>
  <legacy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A673D9-5A20-4EEA-83F6-0E2D8A938401}">
  <sheetPr>
    <pageSetUpPr fitToPage="1"/>
  </sheetPr>
  <dimension ref="A1:W26"/>
  <sheetViews>
    <sheetView tabSelected="1" view="pageBreakPreview" topLeftCell="A6" zoomScale="55" zoomScaleNormal="85" zoomScaleSheetLayoutView="55" workbookViewId="0">
      <selection activeCell="B21" sqref="B21:I21"/>
    </sheetView>
  </sheetViews>
  <sheetFormatPr defaultRowHeight="15"/>
  <cols>
    <col min="1" max="1" width="28" customWidth="1"/>
    <col min="10" max="10" width="7.28515625" customWidth="1"/>
    <col min="11" max="11" width="9.140625" customWidth="1"/>
    <col min="12" max="12" width="41" customWidth="1"/>
    <col min="13" max="13" width="41.28515625" customWidth="1"/>
  </cols>
  <sheetData>
    <row r="1" spans="1:23" ht="30" customHeight="1">
      <c r="A1" s="983" t="s">
        <v>909</v>
      </c>
      <c r="B1" s="984"/>
      <c r="C1" s="984"/>
      <c r="D1" s="984"/>
      <c r="E1" s="984"/>
      <c r="F1" s="984"/>
      <c r="G1" s="984"/>
      <c r="H1" s="984"/>
      <c r="I1" s="984"/>
      <c r="J1" s="984"/>
      <c r="K1" s="984"/>
      <c r="L1" s="984"/>
      <c r="M1" s="984"/>
      <c r="N1" s="984"/>
      <c r="O1" s="984"/>
      <c r="P1" s="984"/>
      <c r="Q1" s="984"/>
      <c r="R1" s="984"/>
      <c r="S1" s="984"/>
      <c r="T1" s="984"/>
      <c r="U1" s="984"/>
      <c r="V1" s="984"/>
      <c r="W1" s="985"/>
    </row>
    <row r="2" spans="1:23" ht="30" customHeight="1">
      <c r="A2" s="986"/>
      <c r="B2" s="987"/>
      <c r="C2" s="987"/>
      <c r="D2" s="987"/>
      <c r="E2" s="987"/>
      <c r="F2" s="987"/>
      <c r="G2" s="987"/>
      <c r="H2" s="987"/>
      <c r="I2" s="987"/>
      <c r="J2" s="987"/>
      <c r="K2" s="987"/>
      <c r="L2" s="987"/>
      <c r="M2" s="987"/>
      <c r="N2" s="987"/>
      <c r="O2" s="987"/>
      <c r="P2" s="987"/>
      <c r="Q2" s="987"/>
      <c r="R2" s="987"/>
      <c r="S2" s="987"/>
      <c r="T2" s="987"/>
      <c r="U2" s="987"/>
      <c r="V2" s="987"/>
      <c r="W2" s="988"/>
    </row>
    <row r="3" spans="1:23" ht="30" customHeight="1">
      <c r="A3" s="986"/>
      <c r="B3" s="987"/>
      <c r="C3" s="987"/>
      <c r="D3" s="987"/>
      <c r="E3" s="987"/>
      <c r="F3" s="987"/>
      <c r="G3" s="987"/>
      <c r="H3" s="987"/>
      <c r="I3" s="987"/>
      <c r="J3" s="987"/>
      <c r="K3" s="987"/>
      <c r="L3" s="987"/>
      <c r="M3" s="987"/>
      <c r="N3" s="987"/>
      <c r="O3" s="987"/>
      <c r="P3" s="987"/>
      <c r="Q3" s="987"/>
      <c r="R3" s="987"/>
      <c r="S3" s="987"/>
      <c r="T3" s="987"/>
      <c r="U3" s="987"/>
      <c r="V3" s="987"/>
      <c r="W3" s="988"/>
    </row>
    <row r="4" spans="1:23" ht="30" customHeight="1" thickBot="1">
      <c r="A4" s="989"/>
      <c r="B4" s="990"/>
      <c r="C4" s="990"/>
      <c r="D4" s="990"/>
      <c r="E4" s="990"/>
      <c r="F4" s="990"/>
      <c r="G4" s="990"/>
      <c r="H4" s="990"/>
      <c r="I4" s="990"/>
      <c r="J4" s="990"/>
      <c r="K4" s="990"/>
      <c r="L4" s="990"/>
      <c r="M4" s="990"/>
      <c r="N4" s="990"/>
      <c r="O4" s="990"/>
      <c r="P4" s="990"/>
      <c r="Q4" s="990"/>
      <c r="R4" s="990"/>
      <c r="S4" s="990"/>
      <c r="T4" s="990"/>
      <c r="U4" s="990"/>
      <c r="V4" s="990"/>
      <c r="W4" s="991"/>
    </row>
    <row r="5" spans="1:23" ht="44.25" customHeight="1" thickBot="1">
      <c r="A5" s="992" t="s">
        <v>910</v>
      </c>
      <c r="B5" s="993"/>
      <c r="C5" s="993"/>
      <c r="D5" s="993"/>
      <c r="E5" s="993"/>
      <c r="F5" s="993"/>
      <c r="G5" s="993"/>
      <c r="H5" s="993"/>
      <c r="I5" s="993"/>
      <c r="J5" s="993"/>
      <c r="K5" s="993"/>
      <c r="L5" s="993"/>
      <c r="M5" s="993"/>
      <c r="N5" s="993"/>
      <c r="O5" s="993"/>
      <c r="P5" s="993"/>
      <c r="Q5" s="993"/>
      <c r="R5" s="993"/>
      <c r="S5" s="997">
        <v>45587</v>
      </c>
      <c r="T5" s="998"/>
      <c r="U5" s="998"/>
      <c r="V5" s="998"/>
      <c r="W5" s="999"/>
    </row>
    <row r="6" spans="1:23" ht="21.75" thickBot="1">
      <c r="A6" s="994"/>
      <c r="B6" s="995"/>
      <c r="C6" s="995"/>
      <c r="D6" s="995"/>
      <c r="E6" s="995"/>
      <c r="F6" s="995"/>
      <c r="G6" s="995"/>
      <c r="H6" s="995"/>
      <c r="I6" s="995"/>
      <c r="J6" s="995"/>
      <c r="K6" s="995"/>
      <c r="L6" s="995"/>
      <c r="M6" s="995"/>
      <c r="N6" s="995"/>
      <c r="O6" s="995"/>
      <c r="P6" s="995"/>
      <c r="Q6" s="995"/>
      <c r="R6" s="995"/>
      <c r="S6" s="995"/>
      <c r="T6" s="995"/>
      <c r="U6" s="995"/>
      <c r="V6" s="995"/>
      <c r="W6" s="996"/>
    </row>
    <row r="7" spans="1:23">
      <c r="A7" s="1004" t="s">
        <v>886</v>
      </c>
      <c r="B7" s="1007" t="s">
        <v>887</v>
      </c>
      <c r="C7" s="1007"/>
      <c r="D7" s="1007"/>
      <c r="E7" s="1007"/>
      <c r="F7" s="1007"/>
      <c r="G7" s="1007"/>
      <c r="H7" s="1007"/>
      <c r="I7" s="1008"/>
      <c r="J7" s="1013"/>
      <c r="K7" s="1013"/>
      <c r="L7" s="1013"/>
      <c r="M7" s="1014"/>
      <c r="N7" s="1013" t="s">
        <v>888</v>
      </c>
      <c r="O7" s="1013"/>
      <c r="P7" s="1013"/>
      <c r="Q7" s="1013"/>
      <c r="R7" s="1013"/>
      <c r="S7" s="1013"/>
      <c r="T7" s="1013"/>
      <c r="U7" s="1013"/>
      <c r="V7" s="1013"/>
      <c r="W7" s="1017"/>
    </row>
    <row r="8" spans="1:23">
      <c r="A8" s="1005"/>
      <c r="B8" s="1009"/>
      <c r="C8" s="1009"/>
      <c r="D8" s="1009"/>
      <c r="E8" s="1009"/>
      <c r="F8" s="1009"/>
      <c r="G8" s="1009"/>
      <c r="H8" s="1009"/>
      <c r="I8" s="1010"/>
      <c r="J8" s="1015"/>
      <c r="K8" s="1015"/>
      <c r="L8" s="1015"/>
      <c r="M8" s="1016"/>
      <c r="N8" s="1015"/>
      <c r="O8" s="1015"/>
      <c r="P8" s="1015"/>
      <c r="Q8" s="1015"/>
      <c r="R8" s="1015"/>
      <c r="S8" s="1015"/>
      <c r="T8" s="1015"/>
      <c r="U8" s="1015"/>
      <c r="V8" s="1015"/>
      <c r="W8" s="1018"/>
    </row>
    <row r="9" spans="1:23" ht="32.25" thickBot="1">
      <c r="A9" s="1006"/>
      <c r="B9" s="1011"/>
      <c r="C9" s="1011"/>
      <c r="D9" s="1011"/>
      <c r="E9" s="1011"/>
      <c r="F9" s="1011"/>
      <c r="G9" s="1011"/>
      <c r="H9" s="1011"/>
      <c r="I9" s="1012"/>
      <c r="J9" s="1021" t="s">
        <v>991</v>
      </c>
      <c r="K9" s="1011"/>
      <c r="L9" s="402" t="s">
        <v>889</v>
      </c>
      <c r="M9" s="402" t="s">
        <v>890</v>
      </c>
      <c r="N9" s="1019"/>
      <c r="O9" s="1019"/>
      <c r="P9" s="1019"/>
      <c r="Q9" s="1019"/>
      <c r="R9" s="1019"/>
      <c r="S9" s="1019"/>
      <c r="T9" s="1019"/>
      <c r="U9" s="1019"/>
      <c r="V9" s="1019"/>
      <c r="W9" s="1020"/>
    </row>
    <row r="10" spans="1:23" ht="26.25" customHeight="1">
      <c r="A10" s="403">
        <f>L10</f>
        <v>45587</v>
      </c>
      <c r="B10" s="968" t="s">
        <v>1008</v>
      </c>
      <c r="C10" s="969"/>
      <c r="D10" s="969"/>
      <c r="E10" s="969"/>
      <c r="F10" s="969"/>
      <c r="G10" s="969"/>
      <c r="H10" s="969"/>
      <c r="I10" s="970"/>
      <c r="J10" s="971">
        <v>14</v>
      </c>
      <c r="K10" s="972"/>
      <c r="L10" s="404">
        <f>S5</f>
        <v>45587</v>
      </c>
      <c r="M10" s="404">
        <f>L10+J10/24</f>
        <v>45587.583333333336</v>
      </c>
      <c r="N10" s="1000"/>
      <c r="O10" s="1001"/>
      <c r="P10" s="1001"/>
      <c r="Q10" s="1001"/>
      <c r="R10" s="1002"/>
      <c r="S10" s="1002"/>
      <c r="T10" s="1002"/>
      <c r="U10" s="1002"/>
      <c r="V10" s="1002"/>
      <c r="W10" s="1003"/>
    </row>
    <row r="11" spans="1:23" ht="47.25" customHeight="1">
      <c r="A11" s="403">
        <f>L11</f>
        <v>45587.583333333336</v>
      </c>
      <c r="B11" s="968" t="s">
        <v>1009</v>
      </c>
      <c r="C11" s="969"/>
      <c r="D11" s="969"/>
      <c r="E11" s="969"/>
      <c r="F11" s="969"/>
      <c r="G11" s="969"/>
      <c r="H11" s="969"/>
      <c r="I11" s="970"/>
      <c r="J11" s="971">
        <v>10</v>
      </c>
      <c r="K11" s="972"/>
      <c r="L11" s="405">
        <f>M10</f>
        <v>45587.583333333336</v>
      </c>
      <c r="M11" s="405">
        <f t="shared" ref="M11:M22" si="0">L11+J11/24</f>
        <v>45588</v>
      </c>
      <c r="N11" s="967"/>
      <c r="O11" s="967"/>
      <c r="P11" s="967"/>
      <c r="Q11" s="967"/>
      <c r="R11" s="979"/>
      <c r="S11" s="979"/>
      <c r="T11" s="979"/>
      <c r="U11" s="979"/>
      <c r="V11" s="979"/>
      <c r="W11" s="967"/>
    </row>
    <row r="12" spans="1:23" ht="50.25" customHeight="1">
      <c r="A12" s="403">
        <f>L12</f>
        <v>45588</v>
      </c>
      <c r="B12" s="968" t="s">
        <v>1010</v>
      </c>
      <c r="C12" s="969"/>
      <c r="D12" s="969"/>
      <c r="E12" s="969"/>
      <c r="F12" s="969"/>
      <c r="G12" s="969"/>
      <c r="H12" s="969"/>
      <c r="I12" s="970"/>
      <c r="J12" s="971">
        <v>19</v>
      </c>
      <c r="K12" s="972"/>
      <c r="L12" s="405">
        <f t="shared" ref="L12:L22" si="1">M11</f>
        <v>45588</v>
      </c>
      <c r="M12" s="405">
        <f t="shared" si="0"/>
        <v>45588.791666666664</v>
      </c>
      <c r="N12" s="980"/>
      <c r="O12" s="981"/>
      <c r="P12" s="981"/>
      <c r="Q12" s="981"/>
      <c r="R12" s="981"/>
      <c r="S12" s="981"/>
      <c r="T12" s="981"/>
      <c r="U12" s="981"/>
      <c r="V12" s="981"/>
      <c r="W12" s="982"/>
    </row>
    <row r="13" spans="1:23" ht="42" customHeight="1">
      <c r="A13" s="403">
        <f t="shared" ref="A13:A22" si="2">L13</f>
        <v>45588.791666666664</v>
      </c>
      <c r="B13" s="968" t="s">
        <v>1011</v>
      </c>
      <c r="C13" s="969"/>
      <c r="D13" s="969"/>
      <c r="E13" s="969"/>
      <c r="F13" s="969"/>
      <c r="G13" s="969"/>
      <c r="H13" s="969"/>
      <c r="I13" s="970"/>
      <c r="J13" s="971">
        <v>3</v>
      </c>
      <c r="K13" s="972"/>
      <c r="L13" s="405">
        <f t="shared" si="1"/>
        <v>45588.791666666664</v>
      </c>
      <c r="M13" s="405">
        <f t="shared" si="0"/>
        <v>45588.916666666664</v>
      </c>
      <c r="N13" s="967"/>
      <c r="O13" s="967"/>
      <c r="P13" s="967"/>
      <c r="Q13" s="967"/>
      <c r="R13" s="967"/>
      <c r="S13" s="967"/>
      <c r="T13" s="967"/>
      <c r="U13" s="967"/>
      <c r="V13" s="967"/>
      <c r="W13" s="967"/>
    </row>
    <row r="14" spans="1:23" ht="42" customHeight="1">
      <c r="A14" s="403">
        <f t="shared" si="2"/>
        <v>45588.916666666664</v>
      </c>
      <c r="B14" s="968" t="s">
        <v>1012</v>
      </c>
      <c r="C14" s="969"/>
      <c r="D14" s="969"/>
      <c r="E14" s="969"/>
      <c r="F14" s="969"/>
      <c r="G14" s="969"/>
      <c r="H14" s="969"/>
      <c r="I14" s="970"/>
      <c r="J14" s="971">
        <v>2</v>
      </c>
      <c r="K14" s="972"/>
      <c r="L14" s="405">
        <f t="shared" si="1"/>
        <v>45588.916666666664</v>
      </c>
      <c r="M14" s="405">
        <f t="shared" si="0"/>
        <v>45589</v>
      </c>
      <c r="N14" s="976"/>
      <c r="O14" s="977"/>
      <c r="P14" s="977"/>
      <c r="Q14" s="977"/>
      <c r="R14" s="977"/>
      <c r="S14" s="977"/>
      <c r="T14" s="977"/>
      <c r="U14" s="977"/>
      <c r="V14" s="977"/>
      <c r="W14" s="978"/>
    </row>
    <row r="15" spans="1:23" ht="28.5">
      <c r="A15" s="403">
        <f t="shared" si="2"/>
        <v>45589</v>
      </c>
      <c r="B15" s="968" t="s">
        <v>1014</v>
      </c>
      <c r="C15" s="969"/>
      <c r="D15" s="969"/>
      <c r="E15" s="969"/>
      <c r="F15" s="969"/>
      <c r="G15" s="969"/>
      <c r="H15" s="969"/>
      <c r="I15" s="970"/>
      <c r="J15" s="971">
        <v>24</v>
      </c>
      <c r="K15" s="972"/>
      <c r="L15" s="405">
        <f t="shared" si="1"/>
        <v>45589</v>
      </c>
      <c r="M15" s="405">
        <f t="shared" si="0"/>
        <v>45590</v>
      </c>
      <c r="N15" s="976"/>
      <c r="O15" s="977"/>
      <c r="P15" s="977"/>
      <c r="Q15" s="977"/>
      <c r="R15" s="977"/>
      <c r="S15" s="977"/>
      <c r="T15" s="977"/>
      <c r="U15" s="977"/>
      <c r="V15" s="977"/>
      <c r="W15" s="978"/>
    </row>
    <row r="16" spans="1:23" ht="42" customHeight="1">
      <c r="A16" s="403">
        <f t="shared" si="2"/>
        <v>45590</v>
      </c>
      <c r="B16" s="968" t="s">
        <v>1013</v>
      </c>
      <c r="C16" s="969"/>
      <c r="D16" s="969"/>
      <c r="E16" s="969"/>
      <c r="F16" s="969"/>
      <c r="G16" s="969"/>
      <c r="H16" s="969"/>
      <c r="I16" s="970"/>
      <c r="J16" s="971">
        <v>8</v>
      </c>
      <c r="K16" s="972"/>
      <c r="L16" s="405">
        <f t="shared" si="1"/>
        <v>45590</v>
      </c>
      <c r="M16" s="405">
        <f t="shared" si="0"/>
        <v>45590.333333333336</v>
      </c>
      <c r="N16" s="976"/>
      <c r="O16" s="977"/>
      <c r="P16" s="977"/>
      <c r="Q16" s="977"/>
      <c r="R16" s="977"/>
      <c r="S16" s="977"/>
      <c r="T16" s="977"/>
      <c r="U16" s="977"/>
      <c r="V16" s="977"/>
      <c r="W16" s="978"/>
    </row>
    <row r="17" spans="1:23" ht="28.5">
      <c r="A17" s="403">
        <f t="shared" si="2"/>
        <v>45590.333333333336</v>
      </c>
      <c r="B17" s="968" t="s">
        <v>1011</v>
      </c>
      <c r="C17" s="969"/>
      <c r="D17" s="969"/>
      <c r="E17" s="969"/>
      <c r="F17" s="969"/>
      <c r="G17" s="969"/>
      <c r="H17" s="969"/>
      <c r="I17" s="970"/>
      <c r="J17" s="971">
        <v>4</v>
      </c>
      <c r="K17" s="972"/>
      <c r="L17" s="405">
        <f t="shared" si="1"/>
        <v>45590.333333333336</v>
      </c>
      <c r="M17" s="405">
        <f t="shared" si="0"/>
        <v>45590.5</v>
      </c>
      <c r="N17" s="406"/>
      <c r="O17" s="407"/>
      <c r="P17" s="407"/>
      <c r="Q17" s="407"/>
      <c r="R17" s="407"/>
      <c r="S17" s="407"/>
      <c r="T17" s="407"/>
      <c r="U17" s="407"/>
      <c r="V17" s="407"/>
      <c r="W17" s="408"/>
    </row>
    <row r="18" spans="1:23" ht="42.75" customHeight="1">
      <c r="A18" s="403">
        <f t="shared" si="2"/>
        <v>45590.5</v>
      </c>
      <c r="B18" s="968" t="s">
        <v>1012</v>
      </c>
      <c r="C18" s="969"/>
      <c r="D18" s="969"/>
      <c r="E18" s="969"/>
      <c r="F18" s="969"/>
      <c r="G18" s="969"/>
      <c r="H18" s="969"/>
      <c r="I18" s="970"/>
      <c r="J18" s="971">
        <v>2</v>
      </c>
      <c r="K18" s="972"/>
      <c r="L18" s="405">
        <f t="shared" si="1"/>
        <v>45590.5</v>
      </c>
      <c r="M18" s="405">
        <f t="shared" si="0"/>
        <v>45590.583333333336</v>
      </c>
      <c r="N18" s="406"/>
      <c r="O18" s="407"/>
      <c r="P18" s="407"/>
      <c r="Q18" s="407"/>
      <c r="R18" s="407"/>
      <c r="S18" s="407"/>
      <c r="T18" s="407"/>
      <c r="U18" s="407"/>
      <c r="V18" s="407"/>
      <c r="W18" s="408"/>
    </row>
    <row r="19" spans="1:23" ht="48" customHeight="1">
      <c r="A19" s="403">
        <f t="shared" si="2"/>
        <v>45590.583333333336</v>
      </c>
      <c r="B19" s="968" t="s">
        <v>1015</v>
      </c>
      <c r="C19" s="969"/>
      <c r="D19" s="969"/>
      <c r="E19" s="969"/>
      <c r="F19" s="969"/>
      <c r="G19" s="969"/>
      <c r="H19" s="969"/>
      <c r="I19" s="970"/>
      <c r="J19" s="971">
        <v>2</v>
      </c>
      <c r="K19" s="972"/>
      <c r="L19" s="405">
        <f t="shared" si="1"/>
        <v>45590.583333333336</v>
      </c>
      <c r="M19" s="405">
        <f t="shared" si="0"/>
        <v>45590.666666666672</v>
      </c>
      <c r="N19" s="406"/>
      <c r="O19" s="407"/>
      <c r="P19" s="407"/>
      <c r="Q19" s="407"/>
      <c r="R19" s="407"/>
      <c r="S19" s="407"/>
      <c r="T19" s="407"/>
      <c r="U19" s="407"/>
      <c r="V19" s="407"/>
      <c r="W19" s="408"/>
    </row>
    <row r="20" spans="1:23" ht="28.5">
      <c r="A20" s="403">
        <f t="shared" si="2"/>
        <v>45590.666666666672</v>
      </c>
      <c r="B20" s="968" t="s">
        <v>1016</v>
      </c>
      <c r="C20" s="969"/>
      <c r="D20" s="969"/>
      <c r="E20" s="969"/>
      <c r="F20" s="969"/>
      <c r="G20" s="969"/>
      <c r="H20" s="969"/>
      <c r="I20" s="970"/>
      <c r="J20" s="971">
        <v>8</v>
      </c>
      <c r="K20" s="972"/>
      <c r="L20" s="405">
        <f t="shared" si="1"/>
        <v>45590.666666666672</v>
      </c>
      <c r="M20" s="405">
        <f t="shared" si="0"/>
        <v>45591.000000000007</v>
      </c>
      <c r="N20" s="406"/>
      <c r="O20" s="407"/>
      <c r="P20" s="407"/>
      <c r="Q20" s="407"/>
      <c r="R20" s="407"/>
      <c r="S20" s="407"/>
      <c r="T20" s="407"/>
      <c r="U20" s="407"/>
      <c r="V20" s="407"/>
      <c r="W20" s="408"/>
    </row>
    <row r="21" spans="1:23" ht="28.5">
      <c r="A21" s="403">
        <f t="shared" si="2"/>
        <v>45591.000000000007</v>
      </c>
      <c r="B21" s="968"/>
      <c r="C21" s="969"/>
      <c r="D21" s="969"/>
      <c r="E21" s="969"/>
      <c r="F21" s="969"/>
      <c r="G21" s="969"/>
      <c r="H21" s="969"/>
      <c r="I21" s="970"/>
      <c r="J21" s="971">
        <v>24</v>
      </c>
      <c r="K21" s="972"/>
      <c r="L21" s="405">
        <f t="shared" si="1"/>
        <v>45591.000000000007</v>
      </c>
      <c r="M21" s="405">
        <f t="shared" si="0"/>
        <v>45592.000000000007</v>
      </c>
      <c r="N21" s="967"/>
      <c r="O21" s="967"/>
      <c r="P21" s="967"/>
      <c r="Q21" s="967"/>
      <c r="R21" s="967"/>
      <c r="S21" s="967"/>
      <c r="T21" s="967"/>
      <c r="U21" s="967"/>
      <c r="V21" s="967"/>
      <c r="W21" s="967"/>
    </row>
    <row r="22" spans="1:23" ht="28.5">
      <c r="A22" s="403">
        <f t="shared" si="2"/>
        <v>45592.000000000007</v>
      </c>
      <c r="B22" s="968"/>
      <c r="C22" s="969"/>
      <c r="D22" s="969"/>
      <c r="E22" s="969"/>
      <c r="F22" s="969"/>
      <c r="G22" s="969"/>
      <c r="H22" s="969"/>
      <c r="I22" s="970"/>
      <c r="J22" s="971">
        <v>24</v>
      </c>
      <c r="K22" s="972"/>
      <c r="L22" s="405">
        <f t="shared" si="1"/>
        <v>45592.000000000007</v>
      </c>
      <c r="M22" s="405">
        <f t="shared" si="0"/>
        <v>45593.000000000007</v>
      </c>
      <c r="N22" s="967"/>
      <c r="O22" s="967"/>
      <c r="P22" s="967"/>
      <c r="Q22" s="967"/>
      <c r="R22" s="967"/>
      <c r="S22" s="967"/>
      <c r="T22" s="967"/>
      <c r="U22" s="967"/>
      <c r="V22" s="967"/>
      <c r="W22" s="967"/>
    </row>
    <row r="23" spans="1:23" ht="21">
      <c r="A23" s="973"/>
      <c r="B23" s="973"/>
      <c r="C23" s="973"/>
      <c r="D23" s="973"/>
      <c r="E23" s="973"/>
      <c r="F23" s="973"/>
      <c r="G23" s="973"/>
      <c r="H23" s="973"/>
      <c r="I23" s="973"/>
      <c r="J23" s="974"/>
      <c r="K23" s="974"/>
      <c r="L23" s="974"/>
      <c r="M23" s="273"/>
      <c r="N23" s="975"/>
      <c r="O23" s="975"/>
      <c r="P23" s="975"/>
      <c r="Q23" s="975"/>
      <c r="R23" s="975"/>
      <c r="S23" s="975"/>
      <c r="T23" s="975"/>
      <c r="U23" s="975"/>
      <c r="V23" s="975"/>
      <c r="W23" s="975"/>
    </row>
    <row r="24" spans="1:23" ht="124.5" customHeight="1" thickBot="1">
      <c r="A24" s="951" t="s">
        <v>891</v>
      </c>
      <c r="B24" s="952"/>
      <c r="C24" s="952"/>
      <c r="D24" s="952"/>
      <c r="E24" s="953"/>
      <c r="F24" s="954" t="s">
        <v>915</v>
      </c>
      <c r="G24" s="955"/>
      <c r="H24" s="955"/>
      <c r="I24" s="955"/>
      <c r="J24" s="955"/>
      <c r="K24" s="955"/>
      <c r="L24" s="955"/>
      <c r="M24" s="955"/>
      <c r="N24" s="955"/>
      <c r="O24" s="955"/>
      <c r="P24" s="955"/>
      <c r="Q24" s="955"/>
      <c r="R24" s="955"/>
      <c r="S24" s="955"/>
      <c r="T24" s="955"/>
      <c r="U24" s="955"/>
      <c r="V24" s="955"/>
      <c r="W24" s="956"/>
    </row>
    <row r="25" spans="1:23" ht="66" customHeight="1" thickBot="1">
      <c r="A25" s="957" t="s">
        <v>892</v>
      </c>
      <c r="B25" s="958"/>
      <c r="C25" s="958"/>
      <c r="D25" s="958"/>
      <c r="E25" s="959"/>
      <c r="F25" s="960" t="s">
        <v>966</v>
      </c>
      <c r="G25" s="961"/>
      <c r="H25" s="961"/>
      <c r="I25" s="961"/>
      <c r="J25" s="961"/>
      <c r="K25" s="961"/>
      <c r="L25" s="961"/>
      <c r="M25" s="961"/>
      <c r="N25" s="961"/>
      <c r="O25" s="961"/>
      <c r="P25" s="961"/>
      <c r="Q25" s="961"/>
      <c r="R25" s="961"/>
      <c r="S25" s="961"/>
      <c r="T25" s="961"/>
      <c r="U25" s="961"/>
      <c r="V25" s="961"/>
      <c r="W25" s="962"/>
    </row>
    <row r="26" spans="1:23" ht="21.75" thickBot="1">
      <c r="A26" s="963" t="s">
        <v>893</v>
      </c>
      <c r="B26" s="964"/>
      <c r="C26" s="964"/>
      <c r="D26" s="964"/>
      <c r="E26" s="964"/>
      <c r="F26" s="965" t="str">
        <f>'DDR Remark'!AB12</f>
        <v>A.Eyvazi</v>
      </c>
      <c r="G26" s="965"/>
      <c r="H26" s="965"/>
      <c r="I26" s="965"/>
      <c r="J26" s="409"/>
      <c r="K26" s="409"/>
      <c r="L26" s="274"/>
      <c r="M26" s="964" t="s">
        <v>894</v>
      </c>
      <c r="N26" s="964"/>
      <c r="O26" s="964"/>
      <c r="P26" s="966" t="str">
        <f>'DDR Remark'!AB11</f>
        <v>A.Seifi</v>
      </c>
      <c r="Q26" s="966"/>
      <c r="R26" s="966"/>
      <c r="S26" s="966"/>
      <c r="T26" s="409"/>
      <c r="U26" s="409"/>
      <c r="V26" s="409"/>
      <c r="W26" s="410"/>
    </row>
  </sheetData>
  <mergeCells count="55">
    <mergeCell ref="A1:W4"/>
    <mergeCell ref="A5:R5"/>
    <mergeCell ref="A6:W6"/>
    <mergeCell ref="S5:W5"/>
    <mergeCell ref="B10:I10"/>
    <mergeCell ref="J10:K10"/>
    <mergeCell ref="N10:W10"/>
    <mergeCell ref="A7:A9"/>
    <mergeCell ref="B7:I9"/>
    <mergeCell ref="J7:M8"/>
    <mergeCell ref="N7:W9"/>
    <mergeCell ref="J9:K9"/>
    <mergeCell ref="B11:I11"/>
    <mergeCell ref="J11:K11"/>
    <mergeCell ref="N11:W11"/>
    <mergeCell ref="B12:I12"/>
    <mergeCell ref="J12:K12"/>
    <mergeCell ref="N12:W12"/>
    <mergeCell ref="B13:I13"/>
    <mergeCell ref="J13:K13"/>
    <mergeCell ref="N13:W13"/>
    <mergeCell ref="B18:I18"/>
    <mergeCell ref="J18:K18"/>
    <mergeCell ref="B14:I14"/>
    <mergeCell ref="J14:K14"/>
    <mergeCell ref="N14:W14"/>
    <mergeCell ref="B15:I15"/>
    <mergeCell ref="J15:K15"/>
    <mergeCell ref="N15:W15"/>
    <mergeCell ref="B16:I16"/>
    <mergeCell ref="J16:K16"/>
    <mergeCell ref="N16:W16"/>
    <mergeCell ref="B17:I17"/>
    <mergeCell ref="J17:K17"/>
    <mergeCell ref="B19:I19"/>
    <mergeCell ref="J19:K19"/>
    <mergeCell ref="B20:I20"/>
    <mergeCell ref="J20:K20"/>
    <mergeCell ref="B21:I21"/>
    <mergeCell ref="J21:K21"/>
    <mergeCell ref="N21:W21"/>
    <mergeCell ref="B22:I22"/>
    <mergeCell ref="J22:K22"/>
    <mergeCell ref="N22:W22"/>
    <mergeCell ref="A23:I23"/>
    <mergeCell ref="J23:L23"/>
    <mergeCell ref="N23:W23"/>
    <mergeCell ref="A24:E24"/>
    <mergeCell ref="F24:W24"/>
    <mergeCell ref="A25:E25"/>
    <mergeCell ref="F25:W25"/>
    <mergeCell ref="A26:E26"/>
    <mergeCell ref="F26:I26"/>
    <mergeCell ref="M26:O26"/>
    <mergeCell ref="P26:S26"/>
  </mergeCells>
  <pageMargins left="0" right="0" top="0" bottom="0" header="0" footer="0"/>
  <pageSetup scale="46" orientation="landscape"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0D8E79-3BA0-4C42-8125-C57C488421A1}">
  <dimension ref="A1:AQ82"/>
  <sheetViews>
    <sheetView view="pageBreakPreview" zoomScale="55" zoomScaleNormal="100" zoomScaleSheetLayoutView="55" workbookViewId="0">
      <selection activeCell="A20" sqref="A20:BA21"/>
    </sheetView>
  </sheetViews>
  <sheetFormatPr defaultRowHeight="15"/>
  <cols>
    <col min="1" max="1" width="38.28515625" customWidth="1"/>
    <col min="2" max="2" width="31.42578125" customWidth="1"/>
    <col min="3" max="3" width="64.140625" customWidth="1"/>
    <col min="4" max="4" width="45.7109375" customWidth="1"/>
    <col min="5" max="5" width="45.42578125" customWidth="1"/>
    <col min="6" max="6" width="41.7109375" customWidth="1"/>
    <col min="7" max="7" width="63.85546875" customWidth="1"/>
    <col min="8" max="8" width="45.85546875" customWidth="1"/>
    <col min="9" max="9" width="49.85546875" customWidth="1"/>
    <col min="10" max="10" width="42" customWidth="1"/>
  </cols>
  <sheetData>
    <row r="1" spans="1:43" ht="31.5" customHeight="1" thickBot="1">
      <c r="A1" s="310" t="s">
        <v>876</v>
      </c>
      <c r="B1" s="311" t="s">
        <v>877</v>
      </c>
      <c r="C1" s="311" t="s">
        <v>878</v>
      </c>
      <c r="D1" s="312" t="s">
        <v>879</v>
      </c>
      <c r="E1" s="312" t="s">
        <v>880</v>
      </c>
      <c r="F1" s="313" t="s">
        <v>881</v>
      </c>
      <c r="G1" s="311" t="s">
        <v>885</v>
      </c>
      <c r="H1" s="311" t="s">
        <v>882</v>
      </c>
      <c r="I1" s="311" t="s">
        <v>883</v>
      </c>
      <c r="J1" s="313" t="s">
        <v>884</v>
      </c>
    </row>
    <row r="2" spans="1:43" ht="57.75" customHeight="1">
      <c r="A2" s="314" t="s">
        <v>895</v>
      </c>
      <c r="B2" s="315" t="s">
        <v>926</v>
      </c>
      <c r="C2" s="315" t="s">
        <v>929</v>
      </c>
      <c r="D2" s="316" t="s">
        <v>932</v>
      </c>
      <c r="E2" s="314"/>
      <c r="F2" s="315"/>
      <c r="G2" s="315"/>
      <c r="H2" s="316"/>
      <c r="I2" s="314"/>
      <c r="J2" s="315"/>
    </row>
    <row r="3" spans="1:43" ht="57.75" customHeight="1">
      <c r="A3" s="317" t="s">
        <v>895</v>
      </c>
      <c r="B3" s="318" t="s">
        <v>927</v>
      </c>
      <c r="C3" s="318" t="s">
        <v>930</v>
      </c>
      <c r="D3" s="319" t="s">
        <v>932</v>
      </c>
      <c r="E3" s="317"/>
      <c r="F3" s="318"/>
      <c r="G3" s="318"/>
      <c r="H3" s="319"/>
      <c r="I3" s="317"/>
      <c r="J3" s="318"/>
      <c r="AQ3">
        <v>467</v>
      </c>
    </row>
    <row r="4" spans="1:43" ht="57.75" customHeight="1">
      <c r="A4" s="314" t="s">
        <v>905</v>
      </c>
      <c r="B4" s="315" t="s">
        <v>928</v>
      </c>
      <c r="C4" s="315" t="s">
        <v>931</v>
      </c>
      <c r="D4" s="316" t="s">
        <v>932</v>
      </c>
      <c r="E4" s="314"/>
      <c r="F4" s="315"/>
      <c r="G4" s="315"/>
      <c r="H4" s="316"/>
      <c r="I4" s="314"/>
      <c r="J4" s="315"/>
      <c r="AQ4">
        <v>6.25</v>
      </c>
    </row>
    <row r="5" spans="1:43" ht="57.75" customHeight="1">
      <c r="A5" s="317" t="s">
        <v>895</v>
      </c>
      <c r="B5" s="318" t="s">
        <v>846</v>
      </c>
      <c r="C5" s="318" t="s">
        <v>896</v>
      </c>
      <c r="D5" s="319" t="s">
        <v>897</v>
      </c>
      <c r="E5" s="317" t="s">
        <v>898</v>
      </c>
      <c r="F5" s="318">
        <v>1</v>
      </c>
      <c r="G5" s="318" t="s">
        <v>899</v>
      </c>
      <c r="H5" s="319"/>
      <c r="I5" s="317"/>
      <c r="J5" s="318"/>
      <c r="AQ5">
        <v>7</v>
      </c>
    </row>
    <row r="6" spans="1:43" ht="57.75" customHeight="1">
      <c r="A6" s="314" t="s">
        <v>895</v>
      </c>
      <c r="B6" s="315" t="s">
        <v>900</v>
      </c>
      <c r="C6" s="315" t="s">
        <v>901</v>
      </c>
      <c r="D6" s="316" t="s">
        <v>902</v>
      </c>
      <c r="E6" s="314" t="s">
        <v>903</v>
      </c>
      <c r="F6" s="315">
        <v>1</v>
      </c>
      <c r="G6" s="315" t="s">
        <v>904</v>
      </c>
      <c r="H6" s="316"/>
      <c r="I6" s="314"/>
      <c r="J6" s="315"/>
    </row>
    <row r="7" spans="1:43" ht="57.75" customHeight="1">
      <c r="A7" s="317" t="s">
        <v>895</v>
      </c>
      <c r="B7" s="318" t="s">
        <v>846</v>
      </c>
      <c r="C7" s="318" t="s">
        <v>906</v>
      </c>
      <c r="D7" s="319" t="s">
        <v>907</v>
      </c>
      <c r="E7" s="317" t="s">
        <v>925</v>
      </c>
      <c r="F7" s="318">
        <v>3</v>
      </c>
      <c r="G7" s="318" t="s">
        <v>908</v>
      </c>
      <c r="H7" s="319"/>
      <c r="I7" s="317"/>
      <c r="J7" s="318"/>
    </row>
    <row r="8" spans="1:43" ht="57.75" customHeight="1">
      <c r="A8" s="314"/>
      <c r="B8" s="315"/>
      <c r="C8" s="315"/>
      <c r="D8" s="316"/>
      <c r="E8" s="314"/>
      <c r="F8" s="315"/>
      <c r="G8" s="315"/>
      <c r="H8" s="316"/>
      <c r="I8" s="314"/>
      <c r="J8" s="315"/>
    </row>
    <row r="9" spans="1:43" ht="57.75" customHeight="1">
      <c r="A9" s="317"/>
      <c r="B9" s="318"/>
      <c r="C9" s="318"/>
      <c r="D9" s="319"/>
      <c r="E9" s="317"/>
      <c r="F9" s="318"/>
      <c r="G9" s="318"/>
      <c r="H9" s="319"/>
      <c r="I9" s="317"/>
      <c r="J9" s="318"/>
    </row>
    <row r="10" spans="1:43" ht="57.75" customHeight="1">
      <c r="A10" s="314"/>
      <c r="B10" s="315"/>
      <c r="C10" s="315"/>
      <c r="D10" s="316"/>
      <c r="E10" s="314"/>
      <c r="F10" s="315"/>
      <c r="G10" s="315"/>
      <c r="H10" s="316"/>
      <c r="I10" s="314"/>
      <c r="J10" s="315"/>
      <c r="R10" s="320"/>
      <c r="S10" s="320"/>
      <c r="T10" s="320"/>
      <c r="U10" s="320"/>
      <c r="V10" s="320"/>
    </row>
    <row r="11" spans="1:43" ht="57.75" customHeight="1">
      <c r="A11" s="317"/>
      <c r="B11" s="318"/>
      <c r="C11" s="318"/>
      <c r="D11" s="319"/>
      <c r="E11" s="317"/>
      <c r="F11" s="318"/>
      <c r="G11" s="318"/>
      <c r="H11" s="319"/>
      <c r="I11" s="317"/>
      <c r="J11" s="318"/>
      <c r="R11" s="320"/>
      <c r="S11" s="320"/>
      <c r="T11" s="320"/>
      <c r="U11" s="320"/>
      <c r="V11" s="320"/>
    </row>
    <row r="12" spans="1:43" ht="57.75" customHeight="1">
      <c r="A12" s="314"/>
      <c r="B12" s="315"/>
      <c r="C12" s="315"/>
      <c r="D12" s="316"/>
      <c r="E12" s="314"/>
      <c r="F12" s="315"/>
      <c r="G12" s="315"/>
      <c r="H12" s="316"/>
      <c r="I12" s="314"/>
      <c r="J12" s="315"/>
      <c r="R12">
        <f>R10-R9</f>
        <v>0</v>
      </c>
    </row>
    <row r="13" spans="1:43" ht="57.75" customHeight="1">
      <c r="A13" s="317"/>
      <c r="B13" s="318"/>
      <c r="C13" s="318"/>
      <c r="D13" s="319"/>
      <c r="E13" s="317"/>
      <c r="F13" s="318"/>
      <c r="G13" s="318"/>
      <c r="H13" s="319"/>
      <c r="I13" s="317"/>
      <c r="J13" s="318"/>
    </row>
    <row r="14" spans="1:43" ht="57.75" customHeight="1">
      <c r="A14" s="314"/>
      <c r="B14" s="315"/>
      <c r="C14" s="315"/>
      <c r="D14" s="316"/>
      <c r="E14" s="314"/>
      <c r="F14" s="315"/>
      <c r="G14" s="315"/>
      <c r="H14" s="316"/>
      <c r="I14" s="314"/>
      <c r="J14" s="315"/>
    </row>
    <row r="15" spans="1:43" ht="57.75" customHeight="1">
      <c r="A15" s="317"/>
      <c r="B15" s="318"/>
      <c r="C15" s="318"/>
      <c r="D15" s="319"/>
      <c r="E15" s="317"/>
      <c r="F15" s="318"/>
      <c r="G15" s="318"/>
      <c r="H15" s="319"/>
      <c r="I15" s="317"/>
      <c r="J15" s="318"/>
    </row>
    <row r="16" spans="1:43" ht="57.75" customHeight="1">
      <c r="A16" s="314"/>
      <c r="B16" s="315"/>
      <c r="C16" s="315"/>
      <c r="D16" s="316"/>
      <c r="E16" s="314"/>
      <c r="F16" s="315"/>
      <c r="G16" s="315"/>
      <c r="H16" s="316"/>
      <c r="I16" s="314"/>
      <c r="J16" s="315"/>
    </row>
    <row r="17" spans="1:19" ht="57.75" customHeight="1">
      <c r="A17" s="317"/>
      <c r="B17" s="318"/>
      <c r="C17" s="318"/>
      <c r="D17" s="319"/>
      <c r="E17" s="317"/>
      <c r="F17" s="318"/>
      <c r="G17" s="318"/>
      <c r="H17" s="319"/>
      <c r="I17" s="317"/>
      <c r="J17" s="318"/>
    </row>
    <row r="18" spans="1:19" ht="57.75" customHeight="1">
      <c r="A18" s="314"/>
      <c r="B18" s="315"/>
      <c r="C18" s="315"/>
      <c r="D18" s="316"/>
      <c r="E18" s="314"/>
      <c r="F18" s="315"/>
      <c r="G18" s="315"/>
      <c r="H18" s="316"/>
      <c r="I18" s="314"/>
      <c r="J18" s="315"/>
    </row>
    <row r="19" spans="1:19" ht="57.75" customHeight="1">
      <c r="A19" s="317"/>
      <c r="B19" s="318"/>
      <c r="C19" s="318"/>
      <c r="D19" s="319"/>
      <c r="E19" s="317"/>
      <c r="F19" s="318"/>
      <c r="G19" s="318"/>
      <c r="H19" s="319"/>
      <c r="I19" s="317"/>
      <c r="J19" s="318"/>
    </row>
    <row r="20" spans="1:19" ht="57.75" customHeight="1">
      <c r="A20" s="314"/>
      <c r="B20" s="315"/>
      <c r="C20" s="315"/>
      <c r="D20" s="316"/>
      <c r="E20" s="314"/>
      <c r="F20" s="315"/>
      <c r="G20" s="315"/>
      <c r="H20" s="316"/>
      <c r="I20" s="314"/>
      <c r="J20" s="315"/>
    </row>
    <row r="21" spans="1:19" ht="57.75" customHeight="1">
      <c r="A21" s="317"/>
      <c r="B21" s="318"/>
      <c r="C21" s="318"/>
      <c r="D21" s="319"/>
      <c r="E21" s="317"/>
      <c r="F21" s="318"/>
      <c r="G21" s="318"/>
      <c r="H21" s="319"/>
      <c r="I21" s="317"/>
      <c r="J21" s="318"/>
    </row>
    <row r="22" spans="1:19" ht="57.75" customHeight="1">
      <c r="A22" s="314"/>
      <c r="B22" s="315"/>
      <c r="C22" s="315"/>
      <c r="D22" s="316"/>
      <c r="E22" s="314"/>
      <c r="F22" s="315"/>
      <c r="G22" s="315"/>
      <c r="H22" s="316"/>
      <c r="I22" s="314"/>
      <c r="J22" s="315"/>
    </row>
    <row r="23" spans="1:19" ht="57.75" customHeight="1">
      <c r="A23" s="317"/>
      <c r="B23" s="318"/>
      <c r="C23" s="318"/>
      <c r="D23" s="319"/>
      <c r="E23" s="317"/>
      <c r="F23" s="318"/>
      <c r="G23" s="318"/>
      <c r="H23" s="319"/>
      <c r="I23" s="317"/>
      <c r="J23" s="318"/>
    </row>
    <row r="24" spans="1:19" ht="57.75" customHeight="1">
      <c r="A24" s="314"/>
      <c r="B24" s="315"/>
      <c r="C24" s="315"/>
      <c r="D24" s="316"/>
      <c r="E24" s="314"/>
      <c r="F24" s="315"/>
      <c r="G24" s="315"/>
      <c r="H24" s="316"/>
      <c r="I24" s="314"/>
      <c r="J24" s="315"/>
    </row>
    <row r="25" spans="1:19" ht="57.75" customHeight="1">
      <c r="A25" s="317"/>
      <c r="B25" s="318"/>
      <c r="C25" s="318"/>
      <c r="D25" s="319"/>
      <c r="E25" s="317"/>
      <c r="F25" s="318"/>
      <c r="G25" s="318"/>
      <c r="H25" s="319"/>
      <c r="I25" s="317"/>
      <c r="J25" s="318"/>
      <c r="S25" t="s">
        <v>935</v>
      </c>
    </row>
    <row r="26" spans="1:19" ht="57.75" customHeight="1">
      <c r="A26" s="314"/>
      <c r="B26" s="315"/>
      <c r="C26" s="315"/>
      <c r="D26" s="316"/>
      <c r="E26" s="314"/>
      <c r="F26" s="315"/>
      <c r="G26" s="315"/>
      <c r="H26" s="316"/>
      <c r="I26" s="314"/>
      <c r="J26" s="315"/>
    </row>
    <row r="27" spans="1:19" ht="57.75" customHeight="1">
      <c r="A27" s="317"/>
      <c r="B27" s="318"/>
      <c r="C27" s="318"/>
      <c r="D27" s="319"/>
      <c r="E27" s="317"/>
      <c r="F27" s="318"/>
      <c r="G27" s="318"/>
      <c r="H27" s="319"/>
      <c r="I27" s="317"/>
      <c r="J27" s="318"/>
      <c r="S27" t="s">
        <v>937</v>
      </c>
    </row>
    <row r="28" spans="1:19" ht="57.75" customHeight="1">
      <c r="A28" s="314"/>
      <c r="B28" s="315"/>
      <c r="C28" s="315"/>
      <c r="D28" s="316"/>
      <c r="E28" s="314"/>
      <c r="F28" s="315"/>
      <c r="G28" s="315"/>
      <c r="H28" s="316"/>
      <c r="I28" s="314"/>
      <c r="J28" s="315"/>
    </row>
    <row r="29" spans="1:19" ht="57.75" customHeight="1">
      <c r="A29" s="317"/>
      <c r="B29" s="318"/>
      <c r="C29" s="318"/>
      <c r="D29" s="319"/>
      <c r="E29" s="317"/>
      <c r="F29" s="318"/>
      <c r="G29" s="318"/>
      <c r="H29" s="319"/>
      <c r="I29" s="317"/>
      <c r="J29" s="318"/>
    </row>
    <row r="30" spans="1:19">
      <c r="A30" s="266"/>
      <c r="B30" s="267"/>
      <c r="C30" s="271"/>
      <c r="D30" s="272"/>
      <c r="E30" s="268"/>
      <c r="F30" s="269"/>
      <c r="G30" s="267"/>
      <c r="H30" s="267"/>
      <c r="I30" s="269"/>
      <c r="J30" s="270"/>
    </row>
    <row r="82" spans="1:1">
      <c r="A82" t="s">
        <v>936</v>
      </c>
    </row>
  </sheetData>
  <pageMargins left="0" right="0" top="0" bottom="0" header="0" footer="0"/>
  <pageSetup scale="28" orientation="landscape"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pageSetUpPr fitToPage="1"/>
  </sheetPr>
  <dimension ref="A1:AO150"/>
  <sheetViews>
    <sheetView view="pageBreakPreview" topLeftCell="B101" zoomScale="70" zoomScaleNormal="55" zoomScaleSheetLayoutView="70" workbookViewId="0">
      <selection activeCell="C19" sqref="C19"/>
    </sheetView>
  </sheetViews>
  <sheetFormatPr defaultRowHeight="15"/>
  <cols>
    <col min="1" max="1" width="16.85546875" customWidth="1"/>
    <col min="2" max="2" width="40.42578125" customWidth="1"/>
    <col min="3" max="3" width="80" customWidth="1"/>
    <col min="4" max="4" width="298" customWidth="1"/>
    <col min="6" max="8" width="8.7109375" customWidth="1"/>
  </cols>
  <sheetData>
    <row r="1" spans="1:41" ht="10.15" customHeight="1" thickBot="1"/>
    <row r="2" spans="1:41" ht="29.45" customHeight="1" thickBot="1">
      <c r="B2" s="7" t="s">
        <v>123</v>
      </c>
      <c r="C2" s="335"/>
      <c r="D2" s="336" t="s">
        <v>72</v>
      </c>
    </row>
    <row r="3" spans="1:41" ht="23.25">
      <c r="B3" s="333" t="s">
        <v>124</v>
      </c>
      <c r="C3" s="331" t="s">
        <v>125</v>
      </c>
      <c r="D3" s="400" t="s">
        <v>126</v>
      </c>
      <c r="AO3">
        <v>467</v>
      </c>
    </row>
    <row r="4" spans="1:41" ht="23.25">
      <c r="B4" s="334" t="s">
        <v>127</v>
      </c>
      <c r="C4" s="332" t="s">
        <v>60</v>
      </c>
      <c r="D4" s="398" t="s">
        <v>128</v>
      </c>
      <c r="AO4">
        <v>6.25</v>
      </c>
    </row>
    <row r="5" spans="1:41" ht="23.25">
      <c r="B5" s="334" t="s">
        <v>129</v>
      </c>
      <c r="C5" s="332" t="s">
        <v>130</v>
      </c>
      <c r="D5" s="398" t="s">
        <v>131</v>
      </c>
      <c r="S5" t="s">
        <v>474</v>
      </c>
      <c r="AO5">
        <v>7</v>
      </c>
    </row>
    <row r="6" spans="1:41" ht="23.25">
      <c r="B6" s="334" t="s">
        <v>132</v>
      </c>
      <c r="C6" s="332" t="s">
        <v>133</v>
      </c>
      <c r="D6" s="398" t="s">
        <v>134</v>
      </c>
      <c r="S6" s="9">
        <v>44284</v>
      </c>
      <c r="X6" t="s">
        <v>475</v>
      </c>
    </row>
    <row r="7" spans="1:41" ht="23.25">
      <c r="B7" s="334" t="s">
        <v>135</v>
      </c>
      <c r="C7" s="332" t="s">
        <v>136</v>
      </c>
      <c r="D7" s="398" t="s">
        <v>137</v>
      </c>
      <c r="E7" s="9"/>
    </row>
    <row r="8" spans="1:41" ht="23.25">
      <c r="B8" s="334" t="s">
        <v>138</v>
      </c>
      <c r="C8" s="332" t="s">
        <v>139</v>
      </c>
      <c r="D8" s="398" t="s">
        <v>140</v>
      </c>
    </row>
    <row r="9" spans="1:41" ht="23.25">
      <c r="B9" s="334" t="s">
        <v>141</v>
      </c>
      <c r="C9" s="332" t="s">
        <v>142</v>
      </c>
      <c r="D9" s="398" t="s">
        <v>143</v>
      </c>
    </row>
    <row r="10" spans="1:41" ht="23.25">
      <c r="B10" s="334" t="s">
        <v>144</v>
      </c>
      <c r="C10" s="332" t="s">
        <v>21</v>
      </c>
      <c r="D10" s="398" t="s">
        <v>145</v>
      </c>
      <c r="P10" s="320"/>
      <c r="Q10" s="320"/>
      <c r="R10" s="320"/>
      <c r="S10" s="320"/>
      <c r="T10" s="320"/>
    </row>
    <row r="11" spans="1:41" ht="48" customHeight="1">
      <c r="B11" s="334" t="s">
        <v>146</v>
      </c>
      <c r="C11" s="332" t="s">
        <v>147</v>
      </c>
      <c r="D11" s="398" t="s">
        <v>148</v>
      </c>
      <c r="P11" s="320"/>
      <c r="Q11" s="320"/>
      <c r="R11" s="320"/>
      <c r="S11" s="320"/>
      <c r="T11" s="320"/>
    </row>
    <row r="12" spans="1:41" ht="24" thickBot="1">
      <c r="B12" s="334" t="s">
        <v>149</v>
      </c>
      <c r="C12" s="332" t="s">
        <v>150</v>
      </c>
      <c r="D12" s="399" t="s">
        <v>151</v>
      </c>
      <c r="P12">
        <f>P10-P9</f>
        <v>0</v>
      </c>
    </row>
    <row r="13" spans="1:41" ht="15.75" thickBot="1"/>
    <row r="14" spans="1:41" ht="25.5">
      <c r="A14" s="337" t="s">
        <v>0</v>
      </c>
      <c r="B14" s="338" t="s">
        <v>97</v>
      </c>
      <c r="C14" s="339" t="s">
        <v>1</v>
      </c>
      <c r="D14" s="340" t="s">
        <v>72</v>
      </c>
    </row>
    <row r="15" spans="1:41" ht="23.25">
      <c r="A15" s="1025">
        <v>1</v>
      </c>
      <c r="B15" s="341"/>
      <c r="C15" s="342" t="s">
        <v>152</v>
      </c>
      <c r="D15" s="8"/>
    </row>
    <row r="16" spans="1:41" ht="23.25">
      <c r="A16" s="1023"/>
      <c r="B16" s="343" t="s">
        <v>153</v>
      </c>
      <c r="C16" s="344" t="s">
        <v>98</v>
      </c>
      <c r="D16" s="375" t="s">
        <v>154</v>
      </c>
    </row>
    <row r="17" spans="1:17" ht="44.25" customHeight="1">
      <c r="A17" s="1023"/>
      <c r="B17" s="343" t="s">
        <v>155</v>
      </c>
      <c r="C17" s="344" t="s">
        <v>156</v>
      </c>
      <c r="D17" s="376" t="s">
        <v>157</v>
      </c>
    </row>
    <row r="18" spans="1:17" ht="23.25">
      <c r="A18" s="1023"/>
      <c r="B18" s="343" t="s">
        <v>158</v>
      </c>
      <c r="C18" s="345" t="s">
        <v>159</v>
      </c>
      <c r="D18" s="375" t="s">
        <v>160</v>
      </c>
    </row>
    <row r="19" spans="1:17" ht="23.25">
      <c r="A19" s="1023"/>
      <c r="B19" s="343" t="s">
        <v>161</v>
      </c>
      <c r="C19" s="345" t="s">
        <v>162</v>
      </c>
      <c r="D19" s="375" t="s">
        <v>163</v>
      </c>
    </row>
    <row r="20" spans="1:17" ht="24" thickBot="1">
      <c r="A20" s="1024"/>
      <c r="B20" s="343" t="s">
        <v>164</v>
      </c>
      <c r="C20" s="345" t="s">
        <v>99</v>
      </c>
      <c r="D20" s="375" t="s">
        <v>165</v>
      </c>
    </row>
    <row r="21" spans="1:17" ht="23.25">
      <c r="A21" s="1022">
        <v>2</v>
      </c>
      <c r="B21" s="346"/>
      <c r="C21" s="347" t="s">
        <v>166</v>
      </c>
      <c r="D21" s="377"/>
    </row>
    <row r="22" spans="1:17" ht="23.25">
      <c r="A22" s="1023"/>
      <c r="B22" s="348" t="s">
        <v>167</v>
      </c>
      <c r="C22" s="345" t="s">
        <v>168</v>
      </c>
      <c r="D22" s="375" t="s">
        <v>169</v>
      </c>
    </row>
    <row r="23" spans="1:17" ht="23.25">
      <c r="A23" s="1023"/>
      <c r="B23" s="348" t="s">
        <v>170</v>
      </c>
      <c r="C23" s="345" t="s">
        <v>171</v>
      </c>
      <c r="D23" s="375" t="s">
        <v>172</v>
      </c>
    </row>
    <row r="24" spans="1:17" ht="23.25">
      <c r="A24" s="1023"/>
      <c r="B24" s="348" t="s">
        <v>464</v>
      </c>
      <c r="C24" s="345" t="s">
        <v>465</v>
      </c>
      <c r="D24" s="375" t="s">
        <v>466</v>
      </c>
    </row>
    <row r="25" spans="1:17" ht="24" thickBot="1">
      <c r="A25" s="1023"/>
      <c r="B25" s="348" t="s">
        <v>467</v>
      </c>
      <c r="C25" s="345" t="s">
        <v>468</v>
      </c>
      <c r="D25" s="375" t="s">
        <v>469</v>
      </c>
      <c r="Q25" t="s">
        <v>935</v>
      </c>
    </row>
    <row r="26" spans="1:17" ht="23.25">
      <c r="A26" s="1022">
        <v>3</v>
      </c>
      <c r="B26" s="346"/>
      <c r="C26" s="349" t="s">
        <v>62</v>
      </c>
      <c r="D26" s="377"/>
    </row>
    <row r="27" spans="1:17" ht="23.25">
      <c r="A27" s="1023"/>
      <c r="B27" s="350" t="s">
        <v>476</v>
      </c>
      <c r="C27" s="351" t="s">
        <v>477</v>
      </c>
      <c r="D27" s="375" t="s">
        <v>470</v>
      </c>
      <c r="Q27" t="s">
        <v>937</v>
      </c>
    </row>
    <row r="28" spans="1:17" ht="23.25">
      <c r="A28" s="1023"/>
      <c r="B28" s="350" t="s">
        <v>173</v>
      </c>
      <c r="C28" s="345" t="s">
        <v>68</v>
      </c>
      <c r="D28" s="375" t="s">
        <v>174</v>
      </c>
    </row>
    <row r="29" spans="1:17" ht="23.25">
      <c r="A29" s="1023"/>
      <c r="B29" s="350" t="s">
        <v>471</v>
      </c>
      <c r="C29" s="351" t="s">
        <v>472</v>
      </c>
      <c r="D29" s="375" t="s">
        <v>473</v>
      </c>
    </row>
    <row r="30" spans="1:17" ht="24" thickBot="1">
      <c r="A30" s="1024"/>
      <c r="B30" s="350" t="s">
        <v>175</v>
      </c>
      <c r="C30" s="352" t="s">
        <v>176</v>
      </c>
      <c r="D30" s="378" t="s">
        <v>79</v>
      </c>
    </row>
    <row r="31" spans="1:17" ht="23.25">
      <c r="A31" s="1022">
        <v>4</v>
      </c>
      <c r="B31" s="346"/>
      <c r="C31" s="347" t="s">
        <v>21</v>
      </c>
      <c r="D31" s="377"/>
    </row>
    <row r="32" spans="1:17" ht="23.25">
      <c r="A32" s="1023"/>
      <c r="B32" s="350" t="s">
        <v>177</v>
      </c>
      <c r="C32" s="345" t="s">
        <v>178</v>
      </c>
      <c r="D32" s="375" t="s">
        <v>179</v>
      </c>
    </row>
    <row r="33" spans="1:4" ht="23.25">
      <c r="A33" s="1023"/>
      <c r="B33" s="350" t="s">
        <v>180</v>
      </c>
      <c r="C33" s="345" t="s">
        <v>181</v>
      </c>
      <c r="D33" s="375" t="s">
        <v>182</v>
      </c>
    </row>
    <row r="34" spans="1:4" ht="23.25">
      <c r="A34" s="1023"/>
      <c r="B34" s="350" t="s">
        <v>183</v>
      </c>
      <c r="C34" s="345" t="s">
        <v>184</v>
      </c>
      <c r="D34" s="375" t="s">
        <v>185</v>
      </c>
    </row>
    <row r="35" spans="1:4" ht="24" thickBot="1">
      <c r="A35" s="1024"/>
      <c r="B35" s="350" t="s">
        <v>186</v>
      </c>
      <c r="C35" s="345" t="s">
        <v>187</v>
      </c>
      <c r="D35" s="375" t="s">
        <v>188</v>
      </c>
    </row>
    <row r="36" spans="1:4" ht="23.25">
      <c r="A36" s="1022">
        <v>5</v>
      </c>
      <c r="B36" s="346"/>
      <c r="C36" s="347" t="s">
        <v>189</v>
      </c>
      <c r="D36" s="377"/>
    </row>
    <row r="37" spans="1:4" ht="23.25">
      <c r="A37" s="1023"/>
      <c r="B37" s="350" t="s">
        <v>190</v>
      </c>
      <c r="C37" s="345" t="s">
        <v>75</v>
      </c>
      <c r="D37" s="375" t="s">
        <v>191</v>
      </c>
    </row>
    <row r="38" spans="1:4" ht="23.25">
      <c r="A38" s="1023"/>
      <c r="B38" s="350" t="s">
        <v>192</v>
      </c>
      <c r="C38" s="345" t="s">
        <v>101</v>
      </c>
      <c r="D38" s="379" t="s">
        <v>193</v>
      </c>
    </row>
    <row r="39" spans="1:4" ht="23.25">
      <c r="A39" s="1023"/>
      <c r="B39" s="350" t="s">
        <v>194</v>
      </c>
      <c r="C39" s="353" t="s">
        <v>117</v>
      </c>
      <c r="D39" s="380" t="s">
        <v>195</v>
      </c>
    </row>
    <row r="40" spans="1:4" ht="24" thickBot="1">
      <c r="A40" s="1023"/>
      <c r="B40" s="350" t="s">
        <v>196</v>
      </c>
      <c r="C40" s="354" t="s">
        <v>104</v>
      </c>
      <c r="D40" s="380" t="s">
        <v>197</v>
      </c>
    </row>
    <row r="41" spans="1:4" ht="23.25">
      <c r="A41" s="1022">
        <v>6</v>
      </c>
      <c r="B41" s="346"/>
      <c r="C41" s="347" t="s">
        <v>2</v>
      </c>
      <c r="D41" s="377"/>
    </row>
    <row r="42" spans="1:4" ht="23.25">
      <c r="A42" s="1023"/>
      <c r="B42" s="350" t="s">
        <v>198</v>
      </c>
      <c r="C42" s="345" t="s">
        <v>199</v>
      </c>
      <c r="D42" s="381" t="s">
        <v>106</v>
      </c>
    </row>
    <row r="43" spans="1:4" ht="23.25">
      <c r="A43" s="1023"/>
      <c r="B43" s="350" t="s">
        <v>200</v>
      </c>
      <c r="C43" s="345" t="s">
        <v>107</v>
      </c>
      <c r="D43" s="382" t="s">
        <v>108</v>
      </c>
    </row>
    <row r="44" spans="1:4" ht="23.25">
      <c r="A44" s="1023"/>
      <c r="B44" s="350" t="s">
        <v>201</v>
      </c>
      <c r="C44" s="345" t="s">
        <v>3</v>
      </c>
      <c r="D44" s="382" t="s">
        <v>202</v>
      </c>
    </row>
    <row r="45" spans="1:4" ht="23.25">
      <c r="A45" s="1023"/>
      <c r="B45" s="350" t="s">
        <v>203</v>
      </c>
      <c r="C45" s="345" t="s">
        <v>4</v>
      </c>
      <c r="D45" s="382" t="s">
        <v>80</v>
      </c>
    </row>
    <row r="46" spans="1:4" ht="23.25">
      <c r="A46" s="1023"/>
      <c r="B46" s="350" t="s">
        <v>204</v>
      </c>
      <c r="C46" s="345" t="s">
        <v>205</v>
      </c>
      <c r="D46" s="382" t="s">
        <v>206</v>
      </c>
    </row>
    <row r="47" spans="1:4" ht="23.25">
      <c r="A47" s="1023"/>
      <c r="B47" s="350" t="s">
        <v>207</v>
      </c>
      <c r="C47" s="345" t="s">
        <v>208</v>
      </c>
      <c r="D47" s="382" t="s">
        <v>209</v>
      </c>
    </row>
    <row r="48" spans="1:4" ht="23.25">
      <c r="A48" s="1023"/>
      <c r="B48" s="350" t="s">
        <v>210</v>
      </c>
      <c r="C48" s="345" t="s">
        <v>211</v>
      </c>
      <c r="D48" s="382" t="s">
        <v>212</v>
      </c>
    </row>
    <row r="49" spans="1:4" ht="23.25">
      <c r="A49" s="1023"/>
      <c r="B49" s="355" t="s">
        <v>213</v>
      </c>
      <c r="C49" s="353" t="s">
        <v>109</v>
      </c>
      <c r="D49" s="383" t="s">
        <v>78</v>
      </c>
    </row>
    <row r="50" spans="1:4" ht="19.5" customHeight="1" thickBot="1">
      <c r="A50" s="1024"/>
      <c r="B50" s="355" t="s">
        <v>810</v>
      </c>
      <c r="C50" s="353" t="s">
        <v>811</v>
      </c>
      <c r="D50" s="383" t="s">
        <v>812</v>
      </c>
    </row>
    <row r="51" spans="1:4" ht="23.25">
      <c r="A51" s="1022">
        <v>7</v>
      </c>
      <c r="B51" s="346"/>
      <c r="C51" s="356" t="s">
        <v>214</v>
      </c>
      <c r="D51" s="377"/>
    </row>
    <row r="52" spans="1:4" ht="24" thickBot="1">
      <c r="A52" s="1024"/>
      <c r="B52" s="357" t="s">
        <v>215</v>
      </c>
      <c r="C52" s="358" t="s">
        <v>110</v>
      </c>
      <c r="D52" s="384" t="s">
        <v>111</v>
      </c>
    </row>
    <row r="53" spans="1:4" ht="23.25">
      <c r="A53" s="1022">
        <v>8</v>
      </c>
      <c r="B53" s="346"/>
      <c r="C53" s="356" t="s">
        <v>216</v>
      </c>
      <c r="D53" s="377"/>
    </row>
    <row r="54" spans="1:4" ht="23.25">
      <c r="A54" s="1023"/>
      <c r="B54" s="350" t="s">
        <v>217</v>
      </c>
      <c r="C54" s="344" t="s">
        <v>218</v>
      </c>
      <c r="D54" s="382" t="s">
        <v>219</v>
      </c>
    </row>
    <row r="55" spans="1:4" ht="23.25">
      <c r="A55" s="1023"/>
      <c r="B55" s="350" t="s">
        <v>220</v>
      </c>
      <c r="C55" s="344" t="s">
        <v>221</v>
      </c>
      <c r="D55" s="382" t="s">
        <v>222</v>
      </c>
    </row>
    <row r="56" spans="1:4" ht="23.25">
      <c r="A56" s="1023"/>
      <c r="B56" s="350" t="s">
        <v>223</v>
      </c>
      <c r="C56" s="344" t="s">
        <v>224</v>
      </c>
      <c r="D56" s="382" t="s">
        <v>225</v>
      </c>
    </row>
    <row r="57" spans="1:4" ht="23.25">
      <c r="A57" s="1023"/>
      <c r="B57" s="350" t="s">
        <v>226</v>
      </c>
      <c r="C57" s="344" t="s">
        <v>227</v>
      </c>
      <c r="D57" s="382" t="s">
        <v>228</v>
      </c>
    </row>
    <row r="58" spans="1:4" ht="23.25">
      <c r="A58" s="1023"/>
      <c r="B58" s="350" t="s">
        <v>229</v>
      </c>
      <c r="C58" s="344" t="s">
        <v>230</v>
      </c>
      <c r="D58" s="382" t="s">
        <v>231</v>
      </c>
    </row>
    <row r="59" spans="1:4" ht="24" thickBot="1">
      <c r="A59" s="1024"/>
      <c r="B59" s="350" t="s">
        <v>232</v>
      </c>
      <c r="C59" s="344" t="s">
        <v>13</v>
      </c>
      <c r="D59" s="382" t="s">
        <v>233</v>
      </c>
    </row>
    <row r="60" spans="1:4" ht="23.25">
      <c r="A60" s="1022">
        <v>9</v>
      </c>
      <c r="B60" s="346"/>
      <c r="C60" s="359" t="s">
        <v>234</v>
      </c>
      <c r="D60" s="377"/>
    </row>
    <row r="61" spans="1:4" ht="24" thickBot="1">
      <c r="A61" s="1024"/>
      <c r="B61" s="357" t="s">
        <v>235</v>
      </c>
      <c r="C61" s="358" t="s">
        <v>874</v>
      </c>
      <c r="D61" s="385" t="s">
        <v>73</v>
      </c>
    </row>
    <row r="62" spans="1:4" ht="23.25">
      <c r="A62" s="1022">
        <v>10</v>
      </c>
      <c r="B62" s="346"/>
      <c r="C62" s="356" t="s">
        <v>5</v>
      </c>
      <c r="D62" s="377"/>
    </row>
    <row r="63" spans="1:4" ht="24" thickBot="1">
      <c r="A63" s="1023"/>
      <c r="B63" s="350" t="s">
        <v>236</v>
      </c>
      <c r="C63" s="345" t="s">
        <v>237</v>
      </c>
      <c r="D63" s="386" t="s">
        <v>238</v>
      </c>
    </row>
    <row r="64" spans="1:4" ht="23.25">
      <c r="A64" s="1022">
        <v>11</v>
      </c>
      <c r="B64" s="346"/>
      <c r="C64" s="356" t="s">
        <v>130</v>
      </c>
      <c r="D64" s="377"/>
    </row>
    <row r="65" spans="1:4" ht="23.25">
      <c r="A65" s="1023"/>
      <c r="B65" s="350" t="s">
        <v>239</v>
      </c>
      <c r="C65" s="344" t="s">
        <v>240</v>
      </c>
      <c r="D65" s="375" t="s">
        <v>241</v>
      </c>
    </row>
    <row r="66" spans="1:4" ht="23.25">
      <c r="A66" s="1023"/>
      <c r="B66" s="350" t="s">
        <v>242</v>
      </c>
      <c r="C66" s="344" t="s">
        <v>243</v>
      </c>
      <c r="D66" s="375" t="s">
        <v>244</v>
      </c>
    </row>
    <row r="67" spans="1:4" ht="23.25">
      <c r="A67" s="1023"/>
      <c r="B67" s="350" t="s">
        <v>245</v>
      </c>
      <c r="C67" s="344" t="s">
        <v>246</v>
      </c>
      <c r="D67" s="387" t="s">
        <v>247</v>
      </c>
    </row>
    <row r="68" spans="1:4" ht="24" thickBot="1">
      <c r="A68" s="1024"/>
      <c r="B68" s="350" t="s">
        <v>248</v>
      </c>
      <c r="C68" s="344" t="s">
        <v>249</v>
      </c>
      <c r="D68" s="387" t="s">
        <v>250</v>
      </c>
    </row>
    <row r="69" spans="1:4" ht="23.25">
      <c r="A69" s="1022">
        <v>12</v>
      </c>
      <c r="B69" s="346"/>
      <c r="C69" s="356" t="s">
        <v>251</v>
      </c>
      <c r="D69" s="377"/>
    </row>
    <row r="70" spans="1:4" ht="23.25">
      <c r="A70" s="1023"/>
      <c r="B70" s="350" t="s">
        <v>252</v>
      </c>
      <c r="C70" s="344" t="s">
        <v>105</v>
      </c>
      <c r="D70" s="375" t="s">
        <v>253</v>
      </c>
    </row>
    <row r="71" spans="1:4" ht="23.25">
      <c r="A71" s="1023"/>
      <c r="B71" s="350" t="s">
        <v>254</v>
      </c>
      <c r="C71" s="344" t="s">
        <v>71</v>
      </c>
      <c r="D71" s="375" t="s">
        <v>255</v>
      </c>
    </row>
    <row r="72" spans="1:4" ht="23.25">
      <c r="A72" s="1023"/>
      <c r="B72" s="350" t="s">
        <v>256</v>
      </c>
      <c r="C72" s="345" t="s">
        <v>7</v>
      </c>
      <c r="D72" s="388" t="s">
        <v>257</v>
      </c>
    </row>
    <row r="73" spans="1:4" ht="23.25">
      <c r="A73" s="1023"/>
      <c r="B73" s="350" t="s">
        <v>258</v>
      </c>
      <c r="C73" s="344" t="s">
        <v>259</v>
      </c>
      <c r="D73" s="388" t="s">
        <v>260</v>
      </c>
    </row>
    <row r="74" spans="1:4" ht="23.25">
      <c r="A74" s="1023"/>
      <c r="B74" s="350" t="s">
        <v>261</v>
      </c>
      <c r="C74" s="345" t="s">
        <v>262</v>
      </c>
      <c r="D74" s="388" t="s">
        <v>263</v>
      </c>
    </row>
    <row r="75" spans="1:4" ht="23.25">
      <c r="A75" s="1023"/>
      <c r="B75" s="350" t="s">
        <v>264</v>
      </c>
      <c r="C75" s="360" t="s">
        <v>265</v>
      </c>
      <c r="D75" s="388" t="s">
        <v>266</v>
      </c>
    </row>
    <row r="76" spans="1:4" ht="23.25">
      <c r="A76" s="1023"/>
      <c r="B76" s="350" t="s">
        <v>267</v>
      </c>
      <c r="C76" s="345" t="s">
        <v>268</v>
      </c>
      <c r="D76" s="388" t="s">
        <v>269</v>
      </c>
    </row>
    <row r="77" spans="1:4" ht="23.25">
      <c r="A77" s="1023"/>
      <c r="B77" s="350" t="s">
        <v>270</v>
      </c>
      <c r="C77" s="344" t="s">
        <v>271</v>
      </c>
      <c r="D77" s="389" t="s">
        <v>272</v>
      </c>
    </row>
    <row r="78" spans="1:4" ht="24" thickBot="1">
      <c r="A78" s="1024"/>
      <c r="B78" s="350" t="s">
        <v>273</v>
      </c>
      <c r="C78" s="353" t="s">
        <v>274</v>
      </c>
      <c r="D78" s="378" t="s">
        <v>275</v>
      </c>
    </row>
    <row r="79" spans="1:4" ht="23.25">
      <c r="A79" s="1022">
        <v>13</v>
      </c>
      <c r="B79" s="346"/>
      <c r="C79" s="356" t="s">
        <v>6</v>
      </c>
      <c r="D79" s="377"/>
    </row>
    <row r="80" spans="1:4" ht="23.25">
      <c r="A80" s="1023"/>
      <c r="B80" s="361" t="s">
        <v>276</v>
      </c>
      <c r="C80" s="362" t="s">
        <v>277</v>
      </c>
      <c r="D80" s="390" t="s">
        <v>278</v>
      </c>
    </row>
    <row r="81" spans="1:4" ht="23.25">
      <c r="A81" s="1023"/>
      <c r="B81" s="361" t="s">
        <v>279</v>
      </c>
      <c r="C81" s="363" t="s">
        <v>11</v>
      </c>
      <c r="D81" s="390" t="s">
        <v>280</v>
      </c>
    </row>
    <row r="82" spans="1:4" ht="23.25">
      <c r="A82" s="1023"/>
      <c r="B82" s="361" t="s">
        <v>281</v>
      </c>
      <c r="C82" s="363" t="s">
        <v>65</v>
      </c>
      <c r="D82" s="391" t="s">
        <v>112</v>
      </c>
    </row>
    <row r="83" spans="1:4" ht="17.45" customHeight="1">
      <c r="A83" s="1023"/>
      <c r="B83" s="361" t="s">
        <v>282</v>
      </c>
      <c r="C83" s="363" t="s">
        <v>283</v>
      </c>
      <c r="D83" s="391" t="s">
        <v>284</v>
      </c>
    </row>
    <row r="84" spans="1:4" ht="24" thickBot="1">
      <c r="A84" s="1024"/>
      <c r="B84" s="361" t="s">
        <v>285</v>
      </c>
      <c r="C84" s="363" t="s">
        <v>13</v>
      </c>
      <c r="D84" s="391"/>
    </row>
    <row r="85" spans="1:4" ht="23.25">
      <c r="A85" s="1026" t="s">
        <v>286</v>
      </c>
      <c r="B85" s="364"/>
      <c r="C85" s="356" t="s">
        <v>287</v>
      </c>
      <c r="D85" s="392"/>
    </row>
    <row r="86" spans="1:4" ht="23.25">
      <c r="A86" s="1027"/>
      <c r="B86" s="365" t="s">
        <v>288</v>
      </c>
      <c r="C86" s="344" t="s">
        <v>289</v>
      </c>
      <c r="D86" s="375" t="s">
        <v>290</v>
      </c>
    </row>
    <row r="87" spans="1:4" ht="23.25">
      <c r="A87" s="1027"/>
      <c r="B87" s="365" t="s">
        <v>291</v>
      </c>
      <c r="C87" s="344" t="s">
        <v>292</v>
      </c>
      <c r="D87" s="375" t="s">
        <v>293</v>
      </c>
    </row>
    <row r="88" spans="1:4" ht="24" thickBot="1">
      <c r="A88" s="1027"/>
      <c r="B88" s="365" t="s">
        <v>294</v>
      </c>
      <c r="C88" s="344" t="s">
        <v>13</v>
      </c>
      <c r="D88" s="393"/>
    </row>
    <row r="89" spans="1:4" ht="23.25">
      <c r="A89" s="1022" t="s">
        <v>295</v>
      </c>
      <c r="B89" s="346"/>
      <c r="C89" s="356" t="s">
        <v>296</v>
      </c>
      <c r="D89" s="377"/>
    </row>
    <row r="90" spans="1:4" ht="24" thickBot="1">
      <c r="A90" s="1024"/>
      <c r="B90" s="355" t="s">
        <v>297</v>
      </c>
      <c r="C90" s="366" t="s">
        <v>69</v>
      </c>
      <c r="D90" s="394" t="s">
        <v>298</v>
      </c>
    </row>
    <row r="91" spans="1:4" ht="23.25">
      <c r="A91" s="1022" t="s">
        <v>299</v>
      </c>
      <c r="B91" s="346"/>
      <c r="C91" s="356" t="s">
        <v>8</v>
      </c>
      <c r="D91" s="377"/>
    </row>
    <row r="92" spans="1:4" ht="24" thickBot="1">
      <c r="A92" s="1024"/>
      <c r="B92" s="357" t="s">
        <v>300</v>
      </c>
      <c r="C92" s="358" t="s">
        <v>9</v>
      </c>
      <c r="D92" s="378" t="s">
        <v>301</v>
      </c>
    </row>
    <row r="93" spans="1:4" ht="23.25">
      <c r="A93" s="1022" t="s">
        <v>302</v>
      </c>
      <c r="B93" s="346"/>
      <c r="C93" s="356" t="s">
        <v>10</v>
      </c>
      <c r="D93" s="377"/>
    </row>
    <row r="94" spans="1:4" ht="23.25">
      <c r="A94" s="1023"/>
      <c r="B94" s="348" t="s">
        <v>303</v>
      </c>
      <c r="C94" s="344" t="s">
        <v>304</v>
      </c>
      <c r="D94" s="387" t="s">
        <v>305</v>
      </c>
    </row>
    <row r="95" spans="1:4" ht="23.25">
      <c r="A95" s="1023"/>
      <c r="B95" s="348" t="s">
        <v>306</v>
      </c>
      <c r="C95" s="344" t="s">
        <v>307</v>
      </c>
      <c r="D95" s="387" t="s">
        <v>308</v>
      </c>
    </row>
    <row r="96" spans="1:4" ht="24" thickBot="1">
      <c r="A96" s="1023"/>
      <c r="B96" s="367" t="s">
        <v>309</v>
      </c>
      <c r="C96" s="344" t="s">
        <v>310</v>
      </c>
      <c r="D96" s="395" t="s">
        <v>311</v>
      </c>
    </row>
    <row r="97" spans="1:4" ht="23.25">
      <c r="A97" s="1022" t="s">
        <v>312</v>
      </c>
      <c r="B97" s="368"/>
      <c r="C97" s="356" t="s">
        <v>12</v>
      </c>
      <c r="D97" s="377"/>
    </row>
    <row r="98" spans="1:4" ht="23.25">
      <c r="A98" s="1023"/>
      <c r="B98" s="350" t="s">
        <v>313</v>
      </c>
      <c r="C98" s="369" t="s">
        <v>314</v>
      </c>
      <c r="D98" s="375" t="s">
        <v>315</v>
      </c>
    </row>
    <row r="99" spans="1:4" ht="23.25">
      <c r="A99" s="1023"/>
      <c r="B99" s="350" t="s">
        <v>316</v>
      </c>
      <c r="C99" s="369" t="s">
        <v>113</v>
      </c>
      <c r="D99" s="375" t="s">
        <v>317</v>
      </c>
    </row>
    <row r="100" spans="1:4" ht="23.25">
      <c r="A100" s="1023"/>
      <c r="B100" s="350" t="s">
        <v>318</v>
      </c>
      <c r="C100" s="369" t="s">
        <v>117</v>
      </c>
      <c r="D100" s="375" t="s">
        <v>319</v>
      </c>
    </row>
    <row r="101" spans="1:4" ht="24" thickBot="1">
      <c r="A101" s="1024"/>
      <c r="B101" s="350" t="s">
        <v>320</v>
      </c>
      <c r="C101" s="370" t="s">
        <v>321</v>
      </c>
      <c r="D101" s="375" t="s">
        <v>322</v>
      </c>
    </row>
    <row r="102" spans="1:4" ht="23.25">
      <c r="A102" s="1022" t="s">
        <v>323</v>
      </c>
      <c r="B102" s="346"/>
      <c r="C102" s="356" t="s">
        <v>324</v>
      </c>
      <c r="D102" s="377"/>
    </row>
    <row r="103" spans="1:4" ht="23.25">
      <c r="A103" s="1023"/>
      <c r="B103" s="350" t="s">
        <v>325</v>
      </c>
      <c r="C103" s="345" t="s">
        <v>326</v>
      </c>
      <c r="D103" s="386" t="s">
        <v>327</v>
      </c>
    </row>
    <row r="104" spans="1:4" ht="23.25">
      <c r="A104" s="1023"/>
      <c r="B104" s="350" t="s">
        <v>328</v>
      </c>
      <c r="C104" s="345" t="s">
        <v>329</v>
      </c>
      <c r="D104" s="386" t="s">
        <v>330</v>
      </c>
    </row>
    <row r="105" spans="1:4" ht="23.25">
      <c r="A105" s="1023"/>
      <c r="B105" s="350" t="s">
        <v>331</v>
      </c>
      <c r="C105" s="345" t="s">
        <v>332</v>
      </c>
      <c r="D105" s="386" t="s">
        <v>333</v>
      </c>
    </row>
    <row r="106" spans="1:4" ht="24" thickBot="1">
      <c r="A106" s="1024"/>
      <c r="B106" s="350" t="s">
        <v>334</v>
      </c>
      <c r="C106" s="345" t="s">
        <v>13</v>
      </c>
      <c r="D106" s="386"/>
    </row>
    <row r="107" spans="1:4" ht="23.25">
      <c r="A107" s="1022" t="s">
        <v>335</v>
      </c>
      <c r="B107" s="346"/>
      <c r="C107" s="356" t="s">
        <v>336</v>
      </c>
      <c r="D107" s="377"/>
    </row>
    <row r="108" spans="1:4" ht="23.25">
      <c r="A108" s="1023"/>
      <c r="B108" s="350" t="s">
        <v>337</v>
      </c>
      <c r="C108" s="344" t="s">
        <v>70</v>
      </c>
      <c r="D108" s="386" t="s">
        <v>338</v>
      </c>
    </row>
    <row r="109" spans="1:4" ht="23.25">
      <c r="A109" s="1023"/>
      <c r="B109" s="350" t="s">
        <v>339</v>
      </c>
      <c r="C109" s="344" t="s">
        <v>77</v>
      </c>
      <c r="D109" s="396" t="s">
        <v>340</v>
      </c>
    </row>
    <row r="110" spans="1:4" ht="23.25">
      <c r="A110" s="1023"/>
      <c r="B110" s="350" t="s">
        <v>341</v>
      </c>
      <c r="C110" s="344" t="s">
        <v>479</v>
      </c>
      <c r="D110" s="396" t="s">
        <v>480</v>
      </c>
    </row>
    <row r="111" spans="1:4" ht="23.25">
      <c r="A111" s="1023"/>
      <c r="B111" s="350" t="s">
        <v>343</v>
      </c>
      <c r="C111" s="344" t="s">
        <v>76</v>
      </c>
      <c r="D111" s="396" t="s">
        <v>342</v>
      </c>
    </row>
    <row r="112" spans="1:4" ht="23.25">
      <c r="A112" s="1023"/>
      <c r="B112" s="350" t="s">
        <v>345</v>
      </c>
      <c r="C112" s="344" t="s">
        <v>26</v>
      </c>
      <c r="D112" s="386" t="s">
        <v>344</v>
      </c>
    </row>
    <row r="113" spans="1:4" ht="24" thickBot="1">
      <c r="A113" s="1023"/>
      <c r="B113" s="350" t="s">
        <v>478</v>
      </c>
      <c r="C113" s="344" t="s">
        <v>114</v>
      </c>
      <c r="D113" s="375" t="s">
        <v>346</v>
      </c>
    </row>
    <row r="114" spans="1:4" ht="23.25">
      <c r="A114" s="1022" t="s">
        <v>119</v>
      </c>
      <c r="B114" s="346"/>
      <c r="C114" s="356" t="s">
        <v>347</v>
      </c>
      <c r="D114" s="377"/>
    </row>
    <row r="115" spans="1:4" ht="23.25">
      <c r="A115" s="1023"/>
      <c r="B115" s="361" t="s">
        <v>348</v>
      </c>
      <c r="C115" s="344" t="s">
        <v>349</v>
      </c>
      <c r="D115" s="386" t="s">
        <v>350</v>
      </c>
    </row>
    <row r="116" spans="1:4" ht="23.25">
      <c r="A116" s="1023"/>
      <c r="B116" s="361" t="s">
        <v>351</v>
      </c>
      <c r="C116" s="344" t="s">
        <v>352</v>
      </c>
      <c r="D116" s="386" t="s">
        <v>353</v>
      </c>
    </row>
    <row r="117" spans="1:4" ht="24" thickBot="1">
      <c r="A117" s="1024"/>
      <c r="B117" s="361" t="s">
        <v>354</v>
      </c>
      <c r="C117" s="344" t="s">
        <v>355</v>
      </c>
      <c r="D117" s="386"/>
    </row>
    <row r="118" spans="1:4" ht="23.25">
      <c r="A118" s="1022" t="s">
        <v>356</v>
      </c>
      <c r="B118" s="346"/>
      <c r="C118" s="356" t="s">
        <v>357</v>
      </c>
      <c r="D118" s="377"/>
    </row>
    <row r="119" spans="1:4" ht="23.25">
      <c r="A119" s="1023"/>
      <c r="B119" s="350" t="s">
        <v>358</v>
      </c>
      <c r="C119" s="371" t="s">
        <v>359</v>
      </c>
      <c r="D119" s="375" t="s">
        <v>360</v>
      </c>
    </row>
    <row r="120" spans="1:4" ht="24" thickBot="1">
      <c r="A120" s="1023"/>
      <c r="B120" s="350" t="s">
        <v>361</v>
      </c>
      <c r="C120" s="371" t="s">
        <v>362</v>
      </c>
      <c r="D120" s="378" t="s">
        <v>363</v>
      </c>
    </row>
    <row r="121" spans="1:4" ht="24" thickBot="1">
      <c r="A121" s="1024"/>
      <c r="B121" s="350" t="s">
        <v>364</v>
      </c>
      <c r="C121" s="372" t="s">
        <v>365</v>
      </c>
      <c r="D121" s="378" t="s">
        <v>366</v>
      </c>
    </row>
    <row r="122" spans="1:4" ht="23.25">
      <c r="A122" s="1022" t="s">
        <v>367</v>
      </c>
      <c r="B122" s="346"/>
      <c r="C122" s="356" t="s">
        <v>368</v>
      </c>
      <c r="D122" s="377"/>
    </row>
    <row r="123" spans="1:4" ht="23.25">
      <c r="A123" s="1023"/>
      <c r="B123" s="350" t="s">
        <v>369</v>
      </c>
      <c r="C123" s="371" t="s">
        <v>115</v>
      </c>
      <c r="D123" s="375" t="s">
        <v>370</v>
      </c>
    </row>
    <row r="124" spans="1:4" ht="23.25">
      <c r="A124" s="1023"/>
      <c r="B124" s="350" t="s">
        <v>371</v>
      </c>
      <c r="C124" s="371" t="s">
        <v>116</v>
      </c>
      <c r="D124" s="375" t="s">
        <v>372</v>
      </c>
    </row>
    <row r="125" spans="1:4" ht="23.25">
      <c r="A125" s="1023"/>
      <c r="B125" s="350" t="s">
        <v>373</v>
      </c>
      <c r="C125" s="371" t="s">
        <v>374</v>
      </c>
      <c r="D125" s="397" t="s">
        <v>375</v>
      </c>
    </row>
    <row r="126" spans="1:4" ht="23.25">
      <c r="A126" s="1023"/>
      <c r="B126" s="350" t="s">
        <v>376</v>
      </c>
      <c r="C126" s="344" t="s">
        <v>377</v>
      </c>
      <c r="D126" s="375" t="s">
        <v>378</v>
      </c>
    </row>
    <row r="127" spans="1:4" ht="23.25">
      <c r="A127" s="1023"/>
      <c r="B127" s="350" t="s">
        <v>379</v>
      </c>
      <c r="C127" s="371" t="s">
        <v>117</v>
      </c>
      <c r="D127" s="375" t="s">
        <v>380</v>
      </c>
    </row>
    <row r="128" spans="1:4" ht="23.25">
      <c r="A128" s="1023"/>
      <c r="B128" s="350" t="s">
        <v>381</v>
      </c>
      <c r="C128" s="345" t="s">
        <v>382</v>
      </c>
      <c r="D128" s="375" t="s">
        <v>383</v>
      </c>
    </row>
    <row r="129" spans="1:4" ht="24" thickBot="1">
      <c r="A129" s="1024"/>
      <c r="B129" s="350" t="s">
        <v>384</v>
      </c>
      <c r="C129" s="358" t="s">
        <v>385</v>
      </c>
      <c r="D129" s="378" t="s">
        <v>386</v>
      </c>
    </row>
    <row r="130" spans="1:4" ht="23.25">
      <c r="A130" s="1022" t="s">
        <v>387</v>
      </c>
      <c r="B130" s="346"/>
      <c r="C130" s="356" t="s">
        <v>66</v>
      </c>
      <c r="D130" s="377"/>
    </row>
    <row r="131" spans="1:4" ht="23.25">
      <c r="A131" s="1023"/>
      <c r="B131" s="350" t="s">
        <v>388</v>
      </c>
      <c r="C131" s="344" t="s">
        <v>14</v>
      </c>
      <c r="D131" s="375" t="s">
        <v>389</v>
      </c>
    </row>
    <row r="132" spans="1:4" ht="23.25">
      <c r="A132" s="1023"/>
      <c r="B132" s="350" t="s">
        <v>390</v>
      </c>
      <c r="C132" s="344" t="s">
        <v>391</v>
      </c>
      <c r="D132" s="375" t="s">
        <v>392</v>
      </c>
    </row>
    <row r="133" spans="1:4" ht="24" thickBot="1">
      <c r="A133" s="1024"/>
      <c r="B133" s="350" t="s">
        <v>393</v>
      </c>
      <c r="C133" s="358" t="s">
        <v>117</v>
      </c>
      <c r="D133" s="378" t="s">
        <v>394</v>
      </c>
    </row>
    <row r="134" spans="1:4" ht="23.25">
      <c r="A134" s="1022" t="s">
        <v>395</v>
      </c>
      <c r="B134" s="346"/>
      <c r="C134" s="356" t="s">
        <v>67</v>
      </c>
      <c r="D134" s="377"/>
    </row>
    <row r="135" spans="1:4" ht="24" thickBot="1">
      <c r="A135" s="1024"/>
      <c r="B135" s="357" t="s">
        <v>396</v>
      </c>
      <c r="C135" s="358" t="s">
        <v>67</v>
      </c>
      <c r="D135" s="378"/>
    </row>
    <row r="136" spans="1:4" ht="23.25">
      <c r="A136" s="1022" t="s">
        <v>397</v>
      </c>
      <c r="B136" s="346"/>
      <c r="C136" s="356" t="s">
        <v>398</v>
      </c>
      <c r="D136" s="377"/>
    </row>
    <row r="137" spans="1:4" ht="23.25">
      <c r="A137" s="1023"/>
      <c r="B137" s="350" t="s">
        <v>399</v>
      </c>
      <c r="C137" s="344" t="s">
        <v>398</v>
      </c>
      <c r="D137" s="375" t="s">
        <v>400</v>
      </c>
    </row>
    <row r="138" spans="1:4" ht="24" thickBot="1">
      <c r="A138" s="1023"/>
      <c r="B138" s="355" t="s">
        <v>401</v>
      </c>
      <c r="C138" s="366" t="s">
        <v>118</v>
      </c>
      <c r="D138" s="394" t="s">
        <v>402</v>
      </c>
    </row>
    <row r="139" spans="1:4" ht="23.25">
      <c r="A139" s="1028" t="s">
        <v>403</v>
      </c>
      <c r="B139" s="346"/>
      <c r="C139" s="356" t="s">
        <v>404</v>
      </c>
      <c r="D139" s="377"/>
    </row>
    <row r="140" spans="1:4" ht="23.25">
      <c r="A140" s="1029"/>
      <c r="B140" s="373" t="s">
        <v>405</v>
      </c>
      <c r="C140" s="371" t="s">
        <v>406</v>
      </c>
      <c r="D140" s="375" t="s">
        <v>407</v>
      </c>
    </row>
    <row r="141" spans="1:4" ht="23.25">
      <c r="A141" s="1029"/>
      <c r="B141" s="373" t="s">
        <v>408</v>
      </c>
      <c r="C141" s="345" t="s">
        <v>102</v>
      </c>
      <c r="D141" s="382" t="s">
        <v>103</v>
      </c>
    </row>
    <row r="142" spans="1:4" ht="23.25">
      <c r="A142" s="1029"/>
      <c r="B142" s="373" t="s">
        <v>409</v>
      </c>
      <c r="C142" s="371" t="s">
        <v>410</v>
      </c>
      <c r="D142" s="375" t="s">
        <v>74</v>
      </c>
    </row>
    <row r="143" spans="1:4" ht="23.25">
      <c r="A143" s="1029"/>
      <c r="B143" s="373" t="s">
        <v>411</v>
      </c>
      <c r="C143" s="369" t="s">
        <v>100</v>
      </c>
      <c r="D143" s="375" t="s">
        <v>412</v>
      </c>
    </row>
    <row r="144" spans="1:4" ht="23.25">
      <c r="A144" s="1029"/>
      <c r="B144" s="373" t="s">
        <v>413</v>
      </c>
      <c r="C144" s="371" t="s">
        <v>414</v>
      </c>
      <c r="D144" s="394" t="s">
        <v>415</v>
      </c>
    </row>
    <row r="145" spans="1:4" ht="24" thickBot="1">
      <c r="A145" s="1030"/>
      <c r="B145" s="374" t="s">
        <v>416</v>
      </c>
      <c r="C145" s="372" t="s">
        <v>117</v>
      </c>
      <c r="D145" s="378" t="s">
        <v>394</v>
      </c>
    </row>
    <row r="146" spans="1:4" ht="23.25">
      <c r="A146" s="1023" t="s">
        <v>417</v>
      </c>
      <c r="B146" s="368"/>
      <c r="C146" s="359" t="s">
        <v>13</v>
      </c>
      <c r="D146" s="392"/>
    </row>
    <row r="147" spans="1:4" ht="24" thickBot="1">
      <c r="A147" s="1023"/>
      <c r="B147" s="355" t="s">
        <v>418</v>
      </c>
      <c r="C147" s="366" t="s">
        <v>13</v>
      </c>
      <c r="D147" s="394"/>
    </row>
    <row r="148" spans="1:4" ht="23.25">
      <c r="A148" s="1028" t="s">
        <v>419</v>
      </c>
      <c r="B148" s="346"/>
      <c r="C148" s="356" t="s">
        <v>420</v>
      </c>
      <c r="D148" s="377"/>
    </row>
    <row r="149" spans="1:4" ht="23.25">
      <c r="A149" s="1029"/>
      <c r="B149" s="373" t="s">
        <v>421</v>
      </c>
      <c r="C149" s="371" t="s">
        <v>422</v>
      </c>
      <c r="D149" s="375"/>
    </row>
    <row r="150" spans="1:4" ht="24" thickBot="1">
      <c r="A150" s="1030"/>
      <c r="B150" s="374" t="s">
        <v>423</v>
      </c>
      <c r="C150" s="372" t="s">
        <v>424</v>
      </c>
      <c r="D150" s="378"/>
    </row>
  </sheetData>
  <mergeCells count="29">
    <mergeCell ref="A134:A135"/>
    <mergeCell ref="A136:A138"/>
    <mergeCell ref="A139:A145"/>
    <mergeCell ref="A146:A147"/>
    <mergeCell ref="A148:A150"/>
    <mergeCell ref="A130:A133"/>
    <mergeCell ref="A79:A84"/>
    <mergeCell ref="A85:A88"/>
    <mergeCell ref="A89:A90"/>
    <mergeCell ref="A91:A92"/>
    <mergeCell ref="A93:A96"/>
    <mergeCell ref="A97:A101"/>
    <mergeCell ref="A102:A106"/>
    <mergeCell ref="A107:A113"/>
    <mergeCell ref="A114:A117"/>
    <mergeCell ref="A118:A121"/>
    <mergeCell ref="A122:A129"/>
    <mergeCell ref="A69:A78"/>
    <mergeCell ref="A15:A20"/>
    <mergeCell ref="A21:A25"/>
    <mergeCell ref="A26:A30"/>
    <mergeCell ref="A31:A35"/>
    <mergeCell ref="A36:A40"/>
    <mergeCell ref="A41:A50"/>
    <mergeCell ref="A51:A52"/>
    <mergeCell ref="A53:A59"/>
    <mergeCell ref="A60:A61"/>
    <mergeCell ref="A62:A63"/>
    <mergeCell ref="A64:A68"/>
  </mergeCells>
  <pageMargins left="0.2" right="0" top="0" bottom="0" header="0" footer="0"/>
  <pageSetup scale="22" orientation="portrait" r:id="rId1"/>
  <colBreaks count="1" manualBreakCount="1">
    <brk id="4" max="1048575" man="1"/>
  </colBreaks>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4:AE51"/>
  <sheetViews>
    <sheetView zoomScale="90" zoomScaleNormal="90" workbookViewId="0">
      <selection activeCell="H19" sqref="H19"/>
    </sheetView>
  </sheetViews>
  <sheetFormatPr defaultRowHeight="15"/>
  <cols>
    <col min="1" max="1" width="16.85546875" customWidth="1"/>
    <col min="3" max="3" width="20.85546875" customWidth="1"/>
    <col min="4" max="4" width="22.42578125" customWidth="1"/>
    <col min="5" max="5" width="26.7109375" customWidth="1"/>
    <col min="6" max="6" width="19.140625" customWidth="1"/>
    <col min="7" max="7" width="16.5703125" customWidth="1"/>
    <col min="8" max="8" width="29.5703125" customWidth="1"/>
    <col min="9" max="9" width="27" customWidth="1"/>
    <col min="10" max="10" width="19.28515625" customWidth="1"/>
    <col min="11" max="11" width="27.28515625" customWidth="1"/>
    <col min="12" max="12" width="18.7109375" customWidth="1"/>
    <col min="13" max="13" width="21.28515625" customWidth="1"/>
    <col min="14" max="14" width="18.7109375" customWidth="1"/>
    <col min="18" max="18" width="19.28515625" customWidth="1"/>
    <col min="20" max="20" width="17.5703125" customWidth="1"/>
    <col min="21" max="21" width="39" customWidth="1"/>
    <col min="22" max="22" width="50.7109375" customWidth="1"/>
    <col min="23" max="23" width="40.140625" customWidth="1"/>
    <col min="24" max="24" width="34.85546875" customWidth="1"/>
    <col min="25" max="25" width="31.85546875" customWidth="1"/>
    <col min="26" max="26" width="55.7109375" customWidth="1"/>
    <col min="27" max="27" width="34.28515625" customWidth="1"/>
    <col min="28" max="28" width="29.5703125" customWidth="1"/>
    <col min="29" max="29" width="37.7109375" customWidth="1"/>
    <col min="30" max="30" width="32.5703125" customWidth="1"/>
    <col min="31" max="31" width="25.28515625" customWidth="1"/>
  </cols>
  <sheetData>
    <row r="4" spans="1:31" ht="21" customHeight="1">
      <c r="Q4" s="12" t="s">
        <v>498</v>
      </c>
      <c r="R4" s="14" t="s">
        <v>499</v>
      </c>
      <c r="S4" s="13" t="s">
        <v>496</v>
      </c>
      <c r="T4" s="18" t="s">
        <v>561</v>
      </c>
      <c r="U4" s="18" t="s">
        <v>425</v>
      </c>
      <c r="V4" s="18" t="s">
        <v>426</v>
      </c>
      <c r="W4" s="18" t="s">
        <v>427</v>
      </c>
      <c r="X4" s="18" t="s">
        <v>428</v>
      </c>
      <c r="Y4" s="18" t="s">
        <v>429</v>
      </c>
      <c r="Z4" s="18" t="s">
        <v>120</v>
      </c>
      <c r="AA4" s="18" t="s">
        <v>430</v>
      </c>
      <c r="AB4" s="28" t="s">
        <v>462</v>
      </c>
      <c r="AC4" s="18" t="s">
        <v>571</v>
      </c>
      <c r="AD4" s="21" t="s">
        <v>588</v>
      </c>
      <c r="AE4" s="21" t="s">
        <v>636</v>
      </c>
    </row>
    <row r="5" spans="1:31">
      <c r="A5" s="18" t="s">
        <v>565</v>
      </c>
      <c r="B5" s="16" t="s">
        <v>509</v>
      </c>
      <c r="C5" s="16" t="s">
        <v>511</v>
      </c>
      <c r="D5" s="16" t="s">
        <v>512</v>
      </c>
      <c r="E5" s="17" t="s">
        <v>520</v>
      </c>
      <c r="F5" s="12" t="s">
        <v>491</v>
      </c>
      <c r="G5" s="16" t="s">
        <v>502</v>
      </c>
      <c r="H5" s="16" t="s">
        <v>515</v>
      </c>
      <c r="I5" s="13" t="s">
        <v>492</v>
      </c>
      <c r="J5" s="16" t="s">
        <v>552</v>
      </c>
      <c r="K5" s="16" t="s">
        <v>663</v>
      </c>
      <c r="L5" s="12" t="s">
        <v>493</v>
      </c>
      <c r="M5" s="18" t="s">
        <v>562</v>
      </c>
      <c r="N5" s="18" t="s">
        <v>563</v>
      </c>
      <c r="Q5">
        <v>1</v>
      </c>
      <c r="R5" s="11" t="s">
        <v>677</v>
      </c>
      <c r="S5">
        <v>2021</v>
      </c>
      <c r="T5" s="19" t="s">
        <v>559</v>
      </c>
      <c r="AC5" s="20" t="s">
        <v>487</v>
      </c>
      <c r="AD5" s="22" t="s">
        <v>589</v>
      </c>
      <c r="AE5" t="s">
        <v>483</v>
      </c>
    </row>
    <row r="6" spans="1:31" ht="15" customHeight="1">
      <c r="A6" t="s">
        <v>516</v>
      </c>
      <c r="B6">
        <v>32</v>
      </c>
      <c r="C6">
        <v>32</v>
      </c>
      <c r="D6">
        <v>32</v>
      </c>
      <c r="E6" t="s">
        <v>474</v>
      </c>
      <c r="F6" t="s">
        <v>707</v>
      </c>
      <c r="G6" t="s">
        <v>501</v>
      </c>
      <c r="H6" t="s">
        <v>519</v>
      </c>
      <c r="J6" t="s">
        <v>553</v>
      </c>
      <c r="K6" t="s">
        <v>664</v>
      </c>
      <c r="L6" t="s">
        <v>124</v>
      </c>
      <c r="M6" t="s">
        <v>61</v>
      </c>
      <c r="N6" t="s">
        <v>564</v>
      </c>
      <c r="Q6">
        <f>Q5+1</f>
        <v>2</v>
      </c>
      <c r="R6" s="11" t="s">
        <v>678</v>
      </c>
      <c r="S6">
        <v>2022</v>
      </c>
      <c r="T6" s="19" t="s">
        <v>560</v>
      </c>
      <c r="AC6" s="20" t="s">
        <v>572</v>
      </c>
      <c r="AD6" s="22" t="s">
        <v>596</v>
      </c>
      <c r="AE6" t="s">
        <v>637</v>
      </c>
    </row>
    <row r="7" spans="1:31" ht="15" customHeight="1">
      <c r="A7" t="s">
        <v>567</v>
      </c>
      <c r="B7">
        <v>26</v>
      </c>
      <c r="C7">
        <v>26</v>
      </c>
      <c r="D7">
        <v>26</v>
      </c>
      <c r="E7" t="s">
        <v>521</v>
      </c>
      <c r="F7" t="s">
        <v>708</v>
      </c>
      <c r="G7" t="s">
        <v>513</v>
      </c>
      <c r="H7" t="s">
        <v>518</v>
      </c>
      <c r="J7" t="s">
        <v>554</v>
      </c>
      <c r="K7" t="s">
        <v>665</v>
      </c>
      <c r="L7" t="s">
        <v>127</v>
      </c>
      <c r="Q7">
        <f t="shared" ref="Q7:S35" si="0">Q6+1</f>
        <v>3</v>
      </c>
      <c r="R7" s="11" t="s">
        <v>679</v>
      </c>
      <c r="S7">
        <f t="shared" si="0"/>
        <v>2023</v>
      </c>
      <c r="AC7" s="20" t="s">
        <v>573</v>
      </c>
      <c r="AD7" s="22" t="s">
        <v>597</v>
      </c>
      <c r="AE7" t="s">
        <v>638</v>
      </c>
    </row>
    <row r="8" spans="1:31">
      <c r="A8" t="s">
        <v>518</v>
      </c>
      <c r="B8">
        <v>23</v>
      </c>
      <c r="C8">
        <v>23</v>
      </c>
      <c r="D8">
        <v>23</v>
      </c>
      <c r="E8" t="s">
        <v>522</v>
      </c>
      <c r="F8" t="s">
        <v>18</v>
      </c>
      <c r="G8" t="s">
        <v>514</v>
      </c>
      <c r="H8" t="s">
        <v>517</v>
      </c>
      <c r="L8" t="s">
        <v>129</v>
      </c>
      <c r="Q8">
        <f t="shared" si="0"/>
        <v>4</v>
      </c>
      <c r="R8" s="11" t="s">
        <v>680</v>
      </c>
      <c r="S8">
        <f t="shared" si="0"/>
        <v>2024</v>
      </c>
      <c r="AC8" s="20" t="s">
        <v>574</v>
      </c>
      <c r="AD8" s="22" t="s">
        <v>598</v>
      </c>
      <c r="AE8" t="s">
        <v>639</v>
      </c>
    </row>
    <row r="9" spans="1:31">
      <c r="A9" t="s">
        <v>568</v>
      </c>
      <c r="B9" s="15">
        <v>17.333333333333332</v>
      </c>
      <c r="C9" s="15">
        <v>17.333333333333332</v>
      </c>
      <c r="D9">
        <v>17.333333333333332</v>
      </c>
      <c r="E9" t="s">
        <v>523</v>
      </c>
      <c r="F9" t="s">
        <v>709</v>
      </c>
      <c r="H9" t="s">
        <v>516</v>
      </c>
      <c r="L9" t="s">
        <v>132</v>
      </c>
      <c r="Q9">
        <f t="shared" si="0"/>
        <v>5</v>
      </c>
      <c r="R9" s="11" t="s">
        <v>500</v>
      </c>
      <c r="S9">
        <f t="shared" si="0"/>
        <v>2025</v>
      </c>
      <c r="AC9" s="20" t="s">
        <v>575</v>
      </c>
      <c r="AD9" s="22" t="s">
        <v>599</v>
      </c>
    </row>
    <row r="10" spans="1:31">
      <c r="A10" t="s">
        <v>569</v>
      </c>
      <c r="B10" s="15">
        <v>13.375</v>
      </c>
      <c r="C10" s="15">
        <v>13.375</v>
      </c>
      <c r="D10">
        <v>13.375</v>
      </c>
      <c r="E10" t="s">
        <v>524</v>
      </c>
      <c r="L10" t="s">
        <v>135</v>
      </c>
      <c r="Q10">
        <f t="shared" si="0"/>
        <v>6</v>
      </c>
      <c r="R10" s="11" t="s">
        <v>681</v>
      </c>
      <c r="S10">
        <f t="shared" si="0"/>
        <v>2026</v>
      </c>
      <c r="AC10" s="20" t="s">
        <v>576</v>
      </c>
      <c r="AD10" s="22" t="s">
        <v>600</v>
      </c>
    </row>
    <row r="11" spans="1:31">
      <c r="A11" t="s">
        <v>570</v>
      </c>
      <c r="B11" s="15">
        <v>12.25</v>
      </c>
      <c r="C11" s="15">
        <v>12.25</v>
      </c>
      <c r="D11">
        <v>12.25</v>
      </c>
      <c r="E11" t="s">
        <v>525</v>
      </c>
      <c r="L11" t="s">
        <v>138</v>
      </c>
      <c r="Q11">
        <f t="shared" si="0"/>
        <v>7</v>
      </c>
      <c r="R11" s="11" t="s">
        <v>682</v>
      </c>
      <c r="S11">
        <f t="shared" si="0"/>
        <v>2027</v>
      </c>
      <c r="AC11" s="20" t="s">
        <v>577</v>
      </c>
      <c r="AD11" s="22" t="s">
        <v>601</v>
      </c>
    </row>
    <row r="12" spans="1:31">
      <c r="A12" t="s">
        <v>566</v>
      </c>
      <c r="B12" s="15">
        <v>6</v>
      </c>
      <c r="C12" s="15">
        <v>6</v>
      </c>
      <c r="D12">
        <v>6</v>
      </c>
      <c r="E12" t="s">
        <v>526</v>
      </c>
      <c r="L12" t="s">
        <v>141</v>
      </c>
      <c r="Q12">
        <f t="shared" si="0"/>
        <v>8</v>
      </c>
      <c r="R12" s="11" t="s">
        <v>683</v>
      </c>
      <c r="S12">
        <f t="shared" si="0"/>
        <v>2028</v>
      </c>
      <c r="AC12" s="20" t="s">
        <v>578</v>
      </c>
      <c r="AD12" s="22" t="s">
        <v>602</v>
      </c>
    </row>
    <row r="13" spans="1:31">
      <c r="E13" t="s">
        <v>527</v>
      </c>
      <c r="L13" t="s">
        <v>144</v>
      </c>
      <c r="Q13">
        <f t="shared" si="0"/>
        <v>9</v>
      </c>
      <c r="R13" s="11" t="s">
        <v>684</v>
      </c>
      <c r="S13">
        <f t="shared" si="0"/>
        <v>2029</v>
      </c>
      <c r="AC13" s="20" t="s">
        <v>579</v>
      </c>
      <c r="AD13" s="22" t="s">
        <v>603</v>
      </c>
    </row>
    <row r="14" spans="1:31">
      <c r="E14" t="s">
        <v>528</v>
      </c>
      <c r="L14" t="s">
        <v>146</v>
      </c>
      <c r="Q14">
        <f t="shared" si="0"/>
        <v>10</v>
      </c>
      <c r="R14" s="11" t="s">
        <v>685</v>
      </c>
      <c r="S14">
        <f t="shared" si="0"/>
        <v>2030</v>
      </c>
      <c r="AC14" s="20" t="s">
        <v>580</v>
      </c>
      <c r="AD14" s="22" t="s">
        <v>604</v>
      </c>
    </row>
    <row r="15" spans="1:31">
      <c r="E15" t="s">
        <v>529</v>
      </c>
      <c r="L15" t="s">
        <v>149</v>
      </c>
      <c r="Q15">
        <f t="shared" si="0"/>
        <v>11</v>
      </c>
      <c r="R15" s="11" t="s">
        <v>686</v>
      </c>
      <c r="S15">
        <f t="shared" si="0"/>
        <v>2031</v>
      </c>
      <c r="AC15" s="20" t="s">
        <v>581</v>
      </c>
      <c r="AD15" s="22" t="s">
        <v>605</v>
      </c>
    </row>
    <row r="16" spans="1:31">
      <c r="E16" t="s">
        <v>530</v>
      </c>
      <c r="Q16">
        <f t="shared" si="0"/>
        <v>12</v>
      </c>
      <c r="R16" s="11" t="s">
        <v>687</v>
      </c>
      <c r="S16">
        <f t="shared" si="0"/>
        <v>2032</v>
      </c>
      <c r="AC16" s="20" t="s">
        <v>582</v>
      </c>
      <c r="AD16" s="22" t="s">
        <v>606</v>
      </c>
    </row>
    <row r="17" spans="5:30">
      <c r="E17" t="s">
        <v>531</v>
      </c>
      <c r="Q17">
        <f t="shared" si="0"/>
        <v>13</v>
      </c>
      <c r="S17">
        <f t="shared" si="0"/>
        <v>2033</v>
      </c>
      <c r="AC17" s="20" t="s">
        <v>583</v>
      </c>
      <c r="AD17" s="22" t="s">
        <v>607</v>
      </c>
    </row>
    <row r="18" spans="5:30">
      <c r="E18" t="s">
        <v>532</v>
      </c>
      <c r="Q18">
        <f t="shared" si="0"/>
        <v>14</v>
      </c>
      <c r="S18">
        <f t="shared" si="0"/>
        <v>2034</v>
      </c>
      <c r="AC18" s="20" t="s">
        <v>584</v>
      </c>
      <c r="AD18" s="22" t="s">
        <v>608</v>
      </c>
    </row>
    <row r="19" spans="5:30">
      <c r="E19" t="s">
        <v>533</v>
      </c>
      <c r="Q19">
        <f t="shared" si="0"/>
        <v>15</v>
      </c>
      <c r="S19">
        <f t="shared" si="0"/>
        <v>2035</v>
      </c>
      <c r="AC19" s="20" t="s">
        <v>585</v>
      </c>
      <c r="AD19" s="22" t="s">
        <v>609</v>
      </c>
    </row>
    <row r="20" spans="5:30">
      <c r="E20" t="s">
        <v>534</v>
      </c>
      <c r="Q20">
        <f t="shared" si="0"/>
        <v>16</v>
      </c>
      <c r="S20">
        <f t="shared" si="0"/>
        <v>2036</v>
      </c>
      <c r="AC20" s="20" t="s">
        <v>586</v>
      </c>
      <c r="AD20" s="22" t="s">
        <v>610</v>
      </c>
    </row>
    <row r="21" spans="5:30">
      <c r="E21" t="s">
        <v>535</v>
      </c>
      <c r="Q21">
        <f t="shared" si="0"/>
        <v>17</v>
      </c>
      <c r="S21">
        <f t="shared" si="0"/>
        <v>2037</v>
      </c>
      <c r="V21" s="10"/>
      <c r="AC21" s="20" t="s">
        <v>587</v>
      </c>
      <c r="AD21" s="22" t="s">
        <v>611</v>
      </c>
    </row>
    <row r="22" spans="5:30">
      <c r="E22" t="s">
        <v>536</v>
      </c>
      <c r="Q22">
        <f t="shared" si="0"/>
        <v>18</v>
      </c>
      <c r="S22">
        <f t="shared" si="0"/>
        <v>2038</v>
      </c>
      <c r="AD22" s="22" t="s">
        <v>612</v>
      </c>
    </row>
    <row r="23" spans="5:30">
      <c r="E23" t="s">
        <v>537</v>
      </c>
      <c r="Q23">
        <f t="shared" si="0"/>
        <v>19</v>
      </c>
      <c r="S23">
        <f t="shared" si="0"/>
        <v>2039</v>
      </c>
      <c r="AD23" s="22" t="s">
        <v>613</v>
      </c>
    </row>
    <row r="24" spans="5:30">
      <c r="E24" t="s">
        <v>538</v>
      </c>
      <c r="Q24">
        <f t="shared" si="0"/>
        <v>20</v>
      </c>
      <c r="S24">
        <f t="shared" si="0"/>
        <v>2040</v>
      </c>
      <c r="AD24" s="22" t="s">
        <v>614</v>
      </c>
    </row>
    <row r="25" spans="5:30">
      <c r="E25" t="s">
        <v>539</v>
      </c>
      <c r="Q25">
        <f t="shared" si="0"/>
        <v>21</v>
      </c>
      <c r="S25">
        <f t="shared" si="0"/>
        <v>2041</v>
      </c>
      <c r="AD25" s="22" t="s">
        <v>615</v>
      </c>
    </row>
    <row r="26" spans="5:30">
      <c r="E26" t="s">
        <v>540</v>
      </c>
      <c r="Q26">
        <f t="shared" si="0"/>
        <v>22</v>
      </c>
      <c r="S26">
        <f t="shared" si="0"/>
        <v>2042</v>
      </c>
      <c r="AD26" s="22" t="s">
        <v>616</v>
      </c>
    </row>
    <row r="27" spans="5:30">
      <c r="E27" t="s">
        <v>541</v>
      </c>
      <c r="Q27">
        <f t="shared" si="0"/>
        <v>23</v>
      </c>
      <c r="S27">
        <f t="shared" si="0"/>
        <v>2043</v>
      </c>
      <c r="AD27" s="22" t="s">
        <v>617</v>
      </c>
    </row>
    <row r="28" spans="5:30">
      <c r="E28" t="s">
        <v>542</v>
      </c>
      <c r="Q28">
        <f t="shared" si="0"/>
        <v>24</v>
      </c>
      <c r="S28">
        <f t="shared" si="0"/>
        <v>2044</v>
      </c>
      <c r="AD28" s="22" t="s">
        <v>618</v>
      </c>
    </row>
    <row r="29" spans="5:30">
      <c r="E29" t="s">
        <v>543</v>
      </c>
      <c r="Q29">
        <f t="shared" si="0"/>
        <v>25</v>
      </c>
      <c r="S29">
        <f t="shared" si="0"/>
        <v>2045</v>
      </c>
      <c r="AD29" s="22" t="s">
        <v>619</v>
      </c>
    </row>
    <row r="30" spans="5:30">
      <c r="E30" t="s">
        <v>544</v>
      </c>
      <c r="Q30">
        <f t="shared" si="0"/>
        <v>26</v>
      </c>
      <c r="S30">
        <f t="shared" si="0"/>
        <v>2046</v>
      </c>
      <c r="AD30" s="22" t="s">
        <v>590</v>
      </c>
    </row>
    <row r="31" spans="5:30">
      <c r="E31" t="s">
        <v>545</v>
      </c>
      <c r="Q31">
        <f t="shared" si="0"/>
        <v>27</v>
      </c>
      <c r="S31">
        <f t="shared" si="0"/>
        <v>2047</v>
      </c>
      <c r="AD31" s="22" t="s">
        <v>591</v>
      </c>
    </row>
    <row r="32" spans="5:30">
      <c r="E32" t="s">
        <v>546</v>
      </c>
      <c r="Q32">
        <f t="shared" si="0"/>
        <v>28</v>
      </c>
      <c r="S32">
        <f t="shared" si="0"/>
        <v>2048</v>
      </c>
      <c r="AD32" s="22" t="s">
        <v>592</v>
      </c>
    </row>
    <row r="33" spans="5:30">
      <c r="E33" t="s">
        <v>547</v>
      </c>
      <c r="Q33">
        <f t="shared" si="0"/>
        <v>29</v>
      </c>
      <c r="S33">
        <f t="shared" si="0"/>
        <v>2049</v>
      </c>
      <c r="AD33" s="22" t="s">
        <v>593</v>
      </c>
    </row>
    <row r="34" spans="5:30">
      <c r="E34" t="s">
        <v>548</v>
      </c>
      <c r="Q34">
        <f t="shared" si="0"/>
        <v>30</v>
      </c>
      <c r="S34">
        <f t="shared" si="0"/>
        <v>2050</v>
      </c>
      <c r="AD34" s="22" t="s">
        <v>594</v>
      </c>
    </row>
    <row r="35" spans="5:30">
      <c r="Q35">
        <f t="shared" si="0"/>
        <v>31</v>
      </c>
      <c r="AD35" s="22" t="s">
        <v>595</v>
      </c>
    </row>
    <row r="36" spans="5:30">
      <c r="AD36" s="22" t="s">
        <v>620</v>
      </c>
    </row>
    <row r="37" spans="5:30">
      <c r="AD37" s="22" t="s">
        <v>621</v>
      </c>
    </row>
    <row r="38" spans="5:30">
      <c r="AD38" s="22" t="s">
        <v>622</v>
      </c>
    </row>
    <row r="39" spans="5:30">
      <c r="AD39" s="22" t="s">
        <v>623</v>
      </c>
    </row>
    <row r="40" spans="5:30">
      <c r="AD40" s="22" t="s">
        <v>624</v>
      </c>
    </row>
    <row r="41" spans="5:30">
      <c r="AD41" s="22" t="s">
        <v>625</v>
      </c>
    </row>
    <row r="42" spans="5:30">
      <c r="AD42" s="22" t="s">
        <v>626</v>
      </c>
    </row>
    <row r="43" spans="5:30">
      <c r="AD43" s="22" t="s">
        <v>627</v>
      </c>
    </row>
    <row r="44" spans="5:30">
      <c r="AD44" s="22" t="s">
        <v>628</v>
      </c>
    </row>
    <row r="45" spans="5:30">
      <c r="AD45" s="22" t="s">
        <v>629</v>
      </c>
    </row>
    <row r="46" spans="5:30">
      <c r="AD46" s="22" t="s">
        <v>630</v>
      </c>
    </row>
    <row r="47" spans="5:30">
      <c r="AD47" s="22" t="s">
        <v>631</v>
      </c>
    </row>
    <row r="48" spans="5:30">
      <c r="AD48" s="22" t="s">
        <v>632</v>
      </c>
    </row>
    <row r="49" spans="30:30">
      <c r="AD49" s="22" t="s">
        <v>633</v>
      </c>
    </row>
    <row r="50" spans="30:30">
      <c r="AD50" s="22" t="s">
        <v>634</v>
      </c>
    </row>
    <row r="51" spans="30:30">
      <c r="AD51" s="22" t="s">
        <v>635</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4</vt:i4>
      </vt:variant>
    </vt:vector>
  </HeadingPairs>
  <TitlesOfParts>
    <vt:vector size="10" baseType="lpstr">
      <vt:lpstr>DDR Remark</vt:lpstr>
      <vt:lpstr>DDR Data</vt:lpstr>
      <vt:lpstr>Lookahead</vt:lpstr>
      <vt:lpstr>Service Company</vt:lpstr>
      <vt:lpstr>Activity Codes</vt:lpstr>
      <vt:lpstr>setting</vt:lpstr>
      <vt:lpstr>'Activity Codes'!Print_Area</vt:lpstr>
      <vt:lpstr>'DDR Data'!Print_Area</vt:lpstr>
      <vt:lpstr>'DDR Remark'!Print_Area</vt:lpstr>
      <vt:lpstr>'Service Company'!Print_Area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2024-10-23T05:57:18Z</dcterms:modified>
</cp:coreProperties>
</file>